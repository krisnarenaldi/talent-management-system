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 V1" sheetId="1" state="visible" r:id="rId3"/>
    <sheet name="V1 - Daftar Pengerjaan" sheetId="2" state="visible" r:id="rId4"/>
    <sheet name="Fase 2 - Daftar Pengerja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<sst xmlns="http://schemas.openxmlformats.org/spreadsheetml/2006/main" count="276" uniqueCount="146">
  <si>
    <t xml:space="preserve">Timeline Development — Talent Management System (V1 / MVP)</t>
  </si>
  <si>
    <t xml:space="preserve">Mulai: Kamis, 3 September 2026   |   Target Go-Live V1: 5–7 Oktober 2026   |   Scope: Fase 1 PRD (tanpa fitur AI)</t>
  </si>
  <si>
    <t xml:space="preserve">Minggu</t>
  </si>
  <si>
    <t xml:space="preserve">Periode Tanggal</t>
  </si>
  <si>
    <t xml:space="preserve">Fokus Pekerjaan</t>
  </si>
  <si>
    <t xml:space="preserve">Deliverable</t>
  </si>
  <si>
    <t xml:space="preserve">Dibutuhkan dari Client</t>
  </si>
  <si>
    <t xml:space="preserve">Status</t>
  </si>
  <si>
    <t xml:space="preserve">Minggu 1</t>
  </si>
  <si>
    <t xml:space="preserve">3 – 9 Sep 2026</t>
  </si>
  <si>
    <t xml:space="preserve">Setup repo &amp; environment; struktur database sesuai ERD; sistem login &amp; hak akses (Admin/HR/Manager)</t>
  </si>
  <si>
    <t xml:space="preserve">Aplikasi dasar jalan di lokal, login sesuai role berfungsi</t>
  </si>
  <si>
    <t xml:space="preserve">Mulai proses registrasi app OneDrive di Microsoft Entra admin center</t>
  </si>
  <si>
    <t xml:space="preserve">Belum Mulai</t>
  </si>
  <si>
    <t xml:space="preserve">Minggu 2</t>
  </si>
  <si>
    <t xml:space="preserve">10 – 16 Sep 2026</t>
  </si>
  <si>
    <t xml:space="preserve">Modul data kandidat (data pribadi, pendidikan, pengalaman); upload dokumen; modul lamaran &amp; tracking tahapan rekrutmen</t>
  </si>
  <si>
    <t xml:space="preserve">HR bisa input kandidat lengkap &amp; update progress interview end-to-end</t>
  </si>
  <si>
    <t xml:space="preserve">-</t>
  </si>
  <si>
    <t xml:space="preserve">Minggu 3</t>
  </si>
  <si>
    <t xml:space="preserve">17 – 23 Sep 2026</t>
  </si>
  <si>
    <t xml:space="preserve">Blacklist kandidat + deteksi otomatis; modul data karyawan (identitas, status, kontrak); integrasi penyimpanan ke OneDrive Business</t>
  </si>
  <si>
    <t xml:space="preserve">Demo alur penuh: kandidat masuk hingga jadi karyawan tercatat</t>
  </si>
  <si>
    <t xml:space="preserve">client_id / client_secret OneDrive sudah diterima</t>
  </si>
  <si>
    <t xml:space="preserve">Minggu 4</t>
  </si>
  <si>
    <t xml:space="preserve">24 – 30 Sep 2026</t>
  </si>
  <si>
    <t xml:space="preserve">Export data ke Excel; dashboard ringkas; deploy ke server Hostinger &amp; setup domain</t>
  </si>
  <si>
    <t xml:space="preserve">Sistem bisa diakses online, siap untuk UAT</t>
  </si>
  <si>
    <t xml:space="preserve">Template CV standar Altek</t>
  </si>
  <si>
    <t xml:space="preserve">Minggu 5</t>
  </si>
  <si>
    <t xml:space="preserve">1 – 7 Okt 2026</t>
  </si>
  <si>
    <t xml:space="preserve">User Acceptance Testing bareng tim HR/Manager dengan data sungguhan; perbaikan bug</t>
  </si>
  <si>
    <t xml:space="preserve">Go-live V1</t>
  </si>
  <si>
    <t xml:space="preserve">PIC untuk sesi UAT</t>
  </si>
  <si>
    <t xml:space="preserve">Setelah V1 Live — Fase 2 (jadwal menyusul, dibahas terpisah)</t>
  </si>
  <si>
    <t xml:space="preserve">• Ekstraksi otomatis field CV oleh AI (nama, pendidikan, skill, dll) + review manual HR</t>
  </si>
  <si>
    <t xml:space="preserve">• AI scoring/matching kandidat ke requirement posisi</t>
  </si>
  <si>
    <t xml:space="preserve">• AI draft bagian "Project" di CV</t>
  </si>
  <si>
    <t xml:space="preserve">• Natural Language Search (khusus role Manager)</t>
  </si>
  <si>
    <t xml:space="preserve">• Auto-generate CV standar dari template</t>
  </si>
  <si>
    <t xml:space="preserve">Fase 2 diestimasi &amp; dijadwalkan setelah ada sample CV nyata dari client (untuk uji akurasi) dan V1 berjalan stabil.</t>
  </si>
  <si>
    <t xml:space="preserve">Asumsi &amp; Risiko</t>
  </si>
  <si>
    <t xml:space="preserve">• Timeline asumsi akses OneDrive (Entra ID) dari client tersedia sebelum Minggu 3. Jika terlambat, modul dokumen tetap jalan pakai penyimpanan sementara di server.</t>
  </si>
  <si>
    <t xml:space="preserve">• Dikerjakan oleh satu developer (solopreneur) — kendala tak terduga berpotensi menggeser tanggal, akan dikomunikasikan sesegera mungkin.</t>
  </si>
  <si>
    <t xml:space="preserve">• Perubahan scope besar di tengah jalan (fitur baru di luar PRD V1) berpotensi menggeser tanggal go-live — akan didiskusikan dampaknya dulu sebelum dikerjakan.</t>
  </si>
  <si>
    <t xml:space="preserve">Daftar Pengerjaan Detail — V1 / MVP</t>
  </si>
  <si>
    <t xml:space="preserve">Breakdown task per minggu, termasuk workflow n8n (highlight kuning) yang sebelumnya belum eksplisit.</t>
  </si>
  <si>
    <t xml:space="preserve">No</t>
  </si>
  <si>
    <t xml:space="preserve">Grup Fitur</t>
  </si>
  <si>
    <t xml:space="preserve">Task</t>
  </si>
  <si>
    <t xml:space="preserve">Estimasi (hari kerja)</t>
  </si>
  <si>
    <t xml:space="preserve">Dependency / Catatan</t>
  </si>
  <si>
    <t xml:space="preserve">Minggu 1 — Fondasi</t>
  </si>
  <si>
    <t xml:space="preserve">Setup repo git &amp; struktur project (monorepo backend/frontend)</t>
  </si>
  <si>
    <t xml:space="preserve">Setup docker-compose lokal: Next.js, FastAPI, PostgreSQL, n8n</t>
  </si>
  <si>
    <t xml:space="preserve">Bangun skema database (migration) sesuai ERD-TMS</t>
  </si>
  <si>
    <t xml:space="preserve">Auth &amp; role-based access (Admin/HR/Manager)</t>
  </si>
  <si>
    <t xml:space="preserve">Kirim instruksi registrasi Entra ID app ke client (OneDrive)</t>
  </si>
  <si>
    <t xml:space="preserve">Task administratif, bukan koding</t>
  </si>
  <si>
    <t xml:space="preserve">Subtotal — Minggu 1 — Fondasi</t>
  </si>
  <si>
    <t xml:space="preserve">Minggu 2 — Data Kandidat &amp; Pipeline</t>
  </si>
  <si>
    <t xml:space="preserve">CRUD Candidate + sub-form pendidikan &amp; pengalaman kerja</t>
  </si>
  <si>
    <t xml:space="preserve">Upload dokumen kandidat (storage adapter, lokal dulu)</t>
  </si>
  <si>
    <t xml:space="preserve">CRUD Client &amp; Position</t>
  </si>
  <si>
    <t xml:space="preserve">CRUD Application (lamaran) + linking Candidate/Position/Recruiter</t>
  </si>
  <si>
    <t xml:space="preserve">UI tracking tahapan rekrutmen (Stage_History) sesuai alur kickoff</t>
  </si>
  <si>
    <t xml:space="preserve">[n8n] Workflow notifikasi/flag dokumen kandidat belum lengkap</t>
  </si>
  <si>
    <t xml:space="preserve">[n8n] Workflow notifikasi/flag kontak (email/HP) tidak bisa dihubungi</t>
  </si>
  <si>
    <t xml:space="preserve">Subtotal — Minggu 2 — Data Kandidat &amp; Pipeline</t>
  </si>
  <si>
    <t xml:space="preserve">Minggu 3 — Blacklist &amp; Modul Karyawan</t>
  </si>
  <si>
    <t xml:space="preserve">CRUD Blacklist + master data Blacklist_Status_Type</t>
  </si>
  <si>
    <t xml:space="preserve">Logic cek duplikat kandidat (email/HP/KTP) saat input baru</t>
  </si>
  <si>
    <t xml:space="preserve">[n8n] Workflow cek &amp; kirim warning otomatis jika kandidat match blacklist</t>
  </si>
  <si>
    <t xml:space="preserve">CRUD modul Employee (identitas, status, kontrak) + master Agreement_Type</t>
  </si>
  <si>
    <t xml:space="preserve">Integrasi OneDrive Graph API (swap storage adapter dari lokal)</t>
  </si>
  <si>
    <t xml:space="preserve">BLOCKED — menunggu client_id/secret dari client</t>
  </si>
  <si>
    <t xml:space="preserve">[n8n] Workflow antrian upload dokumen ke OneDrive (asinkron, tidak blocking request)</t>
  </si>
  <si>
    <t xml:space="preserve">Subtotal — Minggu 3 — Blacklist &amp; Modul Karyawan</t>
  </si>
  <si>
    <t xml:space="preserve">Minggu 4 — Export, Dashboard, Deploy</t>
  </si>
  <si>
    <t xml:space="preserve">Export data kandidat ke Excel</t>
  </si>
  <si>
    <t xml:space="preserve">Dashboard ringkas (jumlah kandidat per tahap/posisi)</t>
  </si>
  <si>
    <t xml:space="preserve">Deploy docker-compose ke server Hostinger</t>
  </si>
  <si>
    <t xml:space="preserve">Setup nginx reverse proxy + SSL (Let's Encrypt)</t>
  </si>
  <si>
    <t xml:space="preserve">[n8n] Workflow backup database terjadwal (pg_dump ke OneDrive/SharePoint)</t>
  </si>
  <si>
    <t xml:space="preserve">Setup monitoring dasar (disk, RAM, CPU, kuota OneDrive)</t>
  </si>
  <si>
    <t xml:space="preserve">Subtotal — Minggu 4 — Export, Dashboard, Deploy</t>
  </si>
  <si>
    <t xml:space="preserve">Minggu 5 — UAT &amp; Stabilisasi</t>
  </si>
  <si>
    <t xml:space="preserve">Sesi UAT bareng HR/Manager pakai data (semi) real</t>
  </si>
  <si>
    <t xml:space="preserve">Perbaikan bug dari hasil UAT</t>
  </si>
  <si>
    <t xml:space="preserve">Review &amp; finalisasi dokumentasi singkat untuk client (cara pakai)</t>
  </si>
  <si>
    <t xml:space="preserve">Subtotal — Minggu 5 — UAT &amp; Stabilisasi</t>
  </si>
  <si>
    <t xml:space="preserve">TOTAL ESTIMASI</t>
  </si>
  <si>
    <t xml:space="preserve">≈ Total dalam minggu kerja (5 hari/minggu)</t>
  </si>
  <si>
    <t xml:space="preserve">Highlight kuning = task n8n automation (workflow, bukan kode aplikasi biasa)</t>
  </si>
  <si>
    <t xml:space="preserve">Daftar Pengerjaan — Fase 2 / V2 (Fitur AI)</t>
  </si>
  <si>
    <t xml:space="preserve">Termasuk workflow n8n untuk orkestrasi AI (highlight kuning) yang sebelumnya belum eksplisit.</t>
  </si>
  <si>
    <t xml:space="preserve">1. AI Ekstraksi CV &amp; Matching/Scoring Kandidat</t>
  </si>
  <si>
    <t xml:space="preserve">Kumpulkan &amp; review sample CV asli dari client</t>
  </si>
  <si>
    <t xml:space="preserve">BLOCKED — menunggu client kirim sample CV berbagai format</t>
  </si>
  <si>
    <t xml:space="preserve">Desain skema ekstraksi &amp; prompt AI (field sesuai kolom database)</t>
  </si>
  <si>
    <t xml:space="preserve">Build pipeline ekstraksi teks (PyMuPDF/pdfplumber + OCR fallback utk CV scan)</t>
  </si>
  <si>
    <t xml:space="preserve">Integrasi API LLM utk ekstraksi terstruktur (output JSON)</t>
  </si>
  <si>
    <t xml:space="preserve">[n8n] Workflow trigger: CV baru diupload -&gt; panggil pipeline ekstraksi AI -&gt; simpan hasil ke DB</t>
  </si>
  <si>
    <t xml:space="preserve">Uji akurasi ke sample CV &amp; iterasi prompt</t>
  </si>
  <si>
    <t xml:space="preserve">Bergantung task #1</t>
  </si>
  <si>
    <t xml:space="preserve">Build UI review/edit hasil ekstraksi AI (human-in-the-loop)</t>
  </si>
  <si>
    <t xml:space="preserve">Desain &amp; implement matching/scoring kandidat ke requirement posisi</t>
  </si>
  <si>
    <t xml:space="preserve">[n8n] Workflow trigger: matching/scoring otomatis saat kandidat baru masuk ke posisi</t>
  </si>
  <si>
    <t xml:space="preserve">Build UI ranking/scoring kandidat per posisi</t>
  </si>
  <si>
    <t xml:space="preserve">Testing end-to-end + setup monitoring biaya token AI</t>
  </si>
  <si>
    <t xml:space="preserve">Subtotal — 1. AI Ekstraksi CV &amp; Matching/Scoring Kandidat</t>
  </si>
  <si>
    <t xml:space="preserve">2. AI Draft "Project" pada CV</t>
  </si>
  <si>
    <t xml:space="preserve">Desain prompt draft project dari pengalaman kerja kandidat</t>
  </si>
  <si>
    <t xml:space="preserve">Build UI draft + edit + approve oleh recruiter</t>
  </si>
  <si>
    <t xml:space="preserve">Integrasi ke alur generate CV (field Project)</t>
  </si>
  <si>
    <t xml:space="preserve">Bergantung Grup 4 (template CV)</t>
  </si>
  <si>
    <t xml:space="preserve">Subtotal — 2. AI Draft "Project" pada CV</t>
  </si>
  <si>
    <t xml:space="preserve">3. Natural Language Search (khusus role Manager)</t>
  </si>
  <si>
    <t xml:space="preserve">Desain skema field &amp; operator yang diizinkan (aman dari SQL injection)</t>
  </si>
  <si>
    <t xml:space="preserve">Implement endpoint AI: terjemahkan query natural -&gt; filter JSON</t>
  </si>
  <si>
    <t xml:space="preserve">Implement query builder backend dari filter JSON</t>
  </si>
  <si>
    <t xml:space="preserve">Build UI search + tampilkan filter yang dipakai (transparansi ke user)</t>
  </si>
  <si>
    <t xml:space="preserve">Batasi akses API khusus role Manager (middleware)</t>
  </si>
  <si>
    <t xml:space="preserve">Testing berbagai variasi query bahasa natural</t>
  </si>
  <si>
    <t xml:space="preserve">Subtotal — 3. Natural Language Search (khusus role Manager)</t>
  </si>
  <si>
    <t xml:space="preserve">4. Auto-generate CV Standar (Template Altek)</t>
  </si>
  <si>
    <t xml:space="preserve">Terima &amp; pelajari template CV standar Altek dari client</t>
  </si>
  <si>
    <t xml:space="preserve">BLOCKED — menunggu client kirim template CV</t>
  </si>
  <si>
    <t xml:space="preserve">Desain sistem template/layout engine (python-docx / HTML-to-PDF)</t>
  </si>
  <si>
    <t xml:space="preserve">Implement penghapusan PII otomatis sebelum masuk template</t>
  </si>
  <si>
    <t xml:space="preserve">Implement ringkasan opsional (manual HR / AI, pilihan bahasa ID-EN)</t>
  </si>
  <si>
    <t xml:space="preserve">Implement penyesuaian layout otomatis (dengan/tanpa foto)</t>
  </si>
  <si>
    <t xml:space="preserve">[n8n] Workflow trigger: generate CV standar otomatis saat data kandidat difinalisasi</t>
  </si>
  <si>
    <t xml:space="preserve">Testing generate CV ke berbagai kasus kandidat</t>
  </si>
  <si>
    <t xml:space="preserve">Subtotal — 4. Auto-generate CV Standar (Template Altek)</t>
  </si>
  <si>
    <t xml:space="preserve">5. Dashboard Analytics Pola Kandidat</t>
  </si>
  <si>
    <t xml:space="preserve">Desain query analitik pola lolos/gagal per posisi/sumber/kompetensi</t>
  </si>
  <si>
    <t xml:space="preserve">Build chart/visualisasi dashboard</t>
  </si>
  <si>
    <t xml:space="preserve">Testing dengan data histori rekrutmen riil</t>
  </si>
  <si>
    <t xml:space="preserve">Subtotal — 5. Dashboard Analytics Pola Kandidat</t>
  </si>
  <si>
    <t xml:space="preserve">6. Testing, UAT &amp; Stabilisasi Fase 2</t>
  </si>
  <si>
    <t xml:space="preserve">Uji integrasi menyeluruh Fase 2 dengan modul V1 (termasuk semua workflow n8n)</t>
  </si>
  <si>
    <t xml:space="preserve">UAT bareng HR/Manager pakai data &amp; CV asli</t>
  </si>
  <si>
    <t xml:space="preserve">Perbaikan bug / iterasi hasil AI dari feedback UAT</t>
  </si>
  <si>
    <t xml:space="preserve">Dokumentasi biaya AI aktual (token riil vs estimasi PRD)</t>
  </si>
  <si>
    <t xml:space="preserve">Subtotal — 6. Testing, UAT &amp; Stabilisasi Fase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</si>
</sst>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.5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34"/>
    <col collapsed="false" customWidth="true" hidden="false" outlineLevel="0" max="5" min="5" style="1" width="30"/>
    <col collapsed="false" customWidth="true" hidden="false" outlineLevel="0" max="6" min="6" style="1" width="16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9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54.75" hidden="false" customHeight="true" outlineLevel="0" collapsed="false">
      <c r="A5" s="5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6" t="s">
        <v>13</v>
      </c>
    </row>
    <row r="6" customFormat="false" ht="54.75" hidden="false" customHeight="true" outlineLevel="0" collapsed="false">
      <c r="A6" s="5" t="s">
        <v>14</v>
      </c>
      <c r="B6" s="6" t="s">
        <v>15</v>
      </c>
      <c r="C6" s="7" t="s">
        <v>16</v>
      </c>
      <c r="D6" s="7" t="s">
        <v>17</v>
      </c>
      <c r="E6" s="7" t="s">
        <v>18</v>
      </c>
      <c r="F6" s="6" t="s">
        <v>13</v>
      </c>
    </row>
    <row r="7" customFormat="false" ht="54.75" hidden="false" customHeight="true" outlineLevel="0" collapsed="false">
      <c r="A7" s="5" t="s">
        <v>19</v>
      </c>
      <c r="B7" s="6" t="s">
        <v>20</v>
      </c>
      <c r="C7" s="7" t="s">
        <v>21</v>
      </c>
      <c r="D7" s="7" t="s">
        <v>22</v>
      </c>
      <c r="E7" s="7" t="s">
        <v>23</v>
      </c>
      <c r="F7" s="6" t="s">
        <v>13</v>
      </c>
    </row>
    <row r="8" customFormat="false" ht="54.75" hidden="false" customHeight="true" outlineLevel="0" collapsed="false">
      <c r="A8" s="5" t="s">
        <v>24</v>
      </c>
      <c r="B8" s="6" t="s">
        <v>25</v>
      </c>
      <c r="C8" s="7" t="s">
        <v>26</v>
      </c>
      <c r="D8" s="7" t="s">
        <v>27</v>
      </c>
      <c r="E8" s="7" t="s">
        <v>28</v>
      </c>
      <c r="F8" s="6" t="s">
        <v>13</v>
      </c>
    </row>
    <row r="9" customFormat="false" ht="54.75" hidden="false" customHeight="true" outlineLevel="0" collapsed="false">
      <c r="A9" s="5" t="s">
        <v>29</v>
      </c>
      <c r="B9" s="6" t="s">
        <v>30</v>
      </c>
      <c r="C9" s="7" t="s">
        <v>31</v>
      </c>
      <c r="D9" s="7" t="s">
        <v>32</v>
      </c>
      <c r="E9" s="7" t="s">
        <v>33</v>
      </c>
      <c r="F9" s="6" t="s">
        <v>13</v>
      </c>
    </row>
    <row r="11" customFormat="false" ht="15" hidden="false" customHeight="true" outlineLevel="0" collapsed="false">
      <c r="A11" s="8" t="s">
        <v>34</v>
      </c>
      <c r="B11" s="8"/>
      <c r="C11" s="8"/>
      <c r="D11" s="8"/>
      <c r="E11" s="8"/>
      <c r="F11" s="8"/>
    </row>
    <row r="12" customFormat="false" ht="15" hidden="false" customHeight="true" outlineLevel="0" collapsed="false">
      <c r="A12" s="9" t="s">
        <v>35</v>
      </c>
      <c r="B12" s="9"/>
      <c r="C12" s="9"/>
      <c r="D12" s="9"/>
      <c r="E12" s="9"/>
      <c r="F12" s="9"/>
    </row>
    <row r="13" customFormat="false" ht="15" hidden="false" customHeight="true" outlineLevel="0" collapsed="false">
      <c r="A13" s="9" t="s">
        <v>36</v>
      </c>
      <c r="B13" s="9"/>
      <c r="C13" s="9"/>
      <c r="D13" s="9"/>
      <c r="E13" s="9"/>
      <c r="F13" s="9"/>
    </row>
    <row r="14" customFormat="false" ht="15" hidden="false" customHeight="true" outlineLevel="0" collapsed="false">
      <c r="A14" s="9" t="s">
        <v>37</v>
      </c>
      <c r="B14" s="9"/>
      <c r="C14" s="9"/>
      <c r="D14" s="9"/>
      <c r="E14" s="9"/>
      <c r="F14" s="9"/>
    </row>
    <row r="15" customFormat="false" ht="15" hidden="false" customHeight="true" outlineLevel="0" collapsed="false">
      <c r="A15" s="9" t="s">
        <v>38</v>
      </c>
      <c r="B15" s="9"/>
      <c r="C15" s="9"/>
      <c r="D15" s="9"/>
      <c r="E15" s="9"/>
      <c r="F15" s="9"/>
    </row>
    <row r="16" customFormat="false" ht="15" hidden="false" customHeight="true" outlineLevel="0" collapsed="false">
      <c r="A16" s="9" t="s">
        <v>39</v>
      </c>
      <c r="B16" s="9"/>
      <c r="C16" s="9"/>
      <c r="D16" s="9"/>
      <c r="E16" s="9"/>
      <c r="F16" s="9"/>
    </row>
    <row r="18" customFormat="false" ht="15" hidden="false" customHeight="true" outlineLevel="0" collapsed="false">
      <c r="A18" s="3" t="s">
        <v>40</v>
      </c>
      <c r="B18" s="3"/>
      <c r="C18" s="3"/>
      <c r="D18" s="3"/>
      <c r="E18" s="3"/>
      <c r="F18" s="3"/>
    </row>
    <row r="20" customFormat="false" ht="15" hidden="false" customHeight="true" outlineLevel="0" collapsed="false">
      <c r="A20" s="8" t="s">
        <v>41</v>
      </c>
      <c r="B20" s="8"/>
      <c r="C20" s="8"/>
      <c r="D20" s="8"/>
      <c r="E20" s="8"/>
      <c r="F20" s="8"/>
    </row>
    <row r="21" customFormat="false" ht="15" hidden="false" customHeight="true" outlineLevel="0" collapsed="false">
      <c r="A21" s="10" t="s">
        <v>42</v>
      </c>
      <c r="B21" s="10"/>
      <c r="C21" s="10"/>
      <c r="D21" s="10"/>
      <c r="E21" s="10"/>
      <c r="F21" s="10"/>
    </row>
    <row r="22" customFormat="false" ht="15" hidden="false" customHeight="true" outlineLevel="0" collapsed="false">
      <c r="A22" s="10" t="s">
        <v>43</v>
      </c>
      <c r="B22" s="10"/>
      <c r="C22" s="10"/>
      <c r="D22" s="10"/>
      <c r="E22" s="10"/>
      <c r="F22" s="10"/>
    </row>
    <row r="23" customFormat="false" ht="15" hidden="false" customHeight="true" outlineLevel="0" collapsed="false">
      <c r="A23" s="10" t="s">
        <v>44</v>
      </c>
      <c r="B23" s="10"/>
      <c r="C23" s="10"/>
      <c r="D23" s="10"/>
      <c r="E23" s="10"/>
      <c r="F23" s="10"/>
    </row>
  </sheetData>
  <mergeCells count="13">
    <mergeCell ref="A1:F1"/>
    <mergeCell ref="A2:F2"/>
    <mergeCell ref="A11:F11"/>
    <mergeCell ref="A12:F12"/>
    <mergeCell ref="A13:F13"/>
    <mergeCell ref="A14:F14"/>
    <mergeCell ref="A15:F15"/>
    <mergeCell ref="A16:F16"/>
    <mergeCell ref="A18:F18"/>
    <mergeCell ref="A20:F20"/>
    <mergeCell ref="A21:F21"/>
    <mergeCell ref="A22:F22"/>
    <mergeCell ref="A23:F23"/>
  </mergeCells>
  <dataValidations count="1">
    <dataValidation allowBlank="true" errorStyle="stop" operator="between" showDropDown="false" showErrorMessage="false" showInputMessage="false" sqref="F5:F9" type="list">
      <formula1>"Belum Mulai,Sedang Berjalan,Selesai,Tertunda"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5"/>
  </cols>
  <sheetData>
    <row r="1" customFormat="false" ht="19.7" hidden="false" customHeight="false" outlineLevel="0" collapsed="false">
      <c r="A1" s="11" t="s">
        <v>45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12" t="s">
        <v>46</v>
      </c>
      <c r="B2" s="12"/>
      <c r="C2" s="12"/>
      <c r="D2" s="12"/>
      <c r="E2" s="12"/>
      <c r="F2" s="12"/>
    </row>
    <row r="4" customFormat="false" ht="77.6" hidden="false" customHeight="false" outlineLevel="0" collapsed="false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7</v>
      </c>
    </row>
    <row r="5" customFormat="false" ht="15" hidden="false" customHeight="false" outlineLevel="0" collapsed="false">
      <c r="A5" s="13" t="s">
        <v>52</v>
      </c>
      <c r="B5" s="13"/>
      <c r="C5" s="13"/>
      <c r="D5" s="13"/>
      <c r="E5" s="13"/>
      <c r="F5" s="13"/>
    </row>
    <row r="6" customFormat="false" ht="23.85" hidden="false" customHeight="false" outlineLevel="0" collapsed="false">
      <c r="A6" s="6" t="n">
        <v>1</v>
      </c>
      <c r="B6" s="14"/>
      <c r="C6" s="7" t="s">
        <v>53</v>
      </c>
      <c r="D6" s="15" t="n">
        <v>0.5</v>
      </c>
      <c r="E6" s="16" t="s">
        <v>18</v>
      </c>
      <c r="F6" s="6" t="s">
        <v>13</v>
      </c>
    </row>
    <row r="7" customFormat="false" ht="23.85" hidden="false" customHeight="false" outlineLevel="0" collapsed="false">
      <c r="A7" s="6" t="n">
        <v>2</v>
      </c>
      <c r="B7" s="14"/>
      <c r="C7" s="7" t="s">
        <v>54</v>
      </c>
      <c r="D7" s="15" t="n">
        <v>1</v>
      </c>
      <c r="E7" s="16" t="s">
        <v>18</v>
      </c>
      <c r="F7" s="6" t="s">
        <v>13</v>
      </c>
    </row>
    <row r="8" customFormat="false" ht="15" hidden="false" customHeight="false" outlineLevel="0" collapsed="false">
      <c r="A8" s="6" t="n">
        <v>3</v>
      </c>
      <c r="B8" s="14"/>
      <c r="C8" s="7" t="s">
        <v>55</v>
      </c>
      <c r="D8" s="15" t="n">
        <v>1.5</v>
      </c>
      <c r="E8" s="16" t="s">
        <v>18</v>
      </c>
      <c r="F8" s="6" t="s">
        <v>13</v>
      </c>
    </row>
    <row r="9" customFormat="false" ht="15" hidden="false" customHeight="false" outlineLevel="0" collapsed="false">
      <c r="A9" s="6" t="n">
        <v>4</v>
      </c>
      <c r="B9" s="14"/>
      <c r="C9" s="7" t="s">
        <v>56</v>
      </c>
      <c r="D9" s="15" t="n">
        <v>1.5</v>
      </c>
      <c r="E9" s="16" t="s">
        <v>18</v>
      </c>
      <c r="F9" s="6" t="s">
        <v>13</v>
      </c>
    </row>
    <row r="10" customFormat="false" ht="15" hidden="false" customHeight="false" outlineLevel="0" collapsed="false">
      <c r="A10" s="6" t="n">
        <v>5</v>
      </c>
      <c r="B10" s="14"/>
      <c r="C10" s="7" t="s">
        <v>57</v>
      </c>
      <c r="D10" s="15" t="n">
        <v>0.5</v>
      </c>
      <c r="E10" s="16" t="s">
        <v>58</v>
      </c>
      <c r="F10" s="6" t="s">
        <v>13</v>
      </c>
    </row>
    <row r="11" customFormat="false" ht="15" hidden="false" customHeight="false" outlineLevel="0" collapsed="false">
      <c r="A11" s="17" t="s">
        <v>59</v>
      </c>
      <c r="B11" s="17"/>
      <c r="C11" s="17"/>
      <c r="D11" s="18" t="n">
        <f aca="false">SUM(D6:D10)</f>
        <v>5</v>
      </c>
      <c r="E11" s="19"/>
      <c r="F11" s="19"/>
    </row>
    <row r="13" customFormat="false" ht="15" hidden="false" customHeight="false" outlineLevel="0" collapsed="false">
      <c r="A13" s="13" t="s">
        <v>60</v>
      </c>
      <c r="B13" s="13"/>
      <c r="C13" s="13"/>
      <c r="D13" s="13"/>
      <c r="E13" s="13"/>
      <c r="F13" s="13"/>
    </row>
    <row r="14" customFormat="false" ht="23.85" hidden="false" customHeight="false" outlineLevel="0" collapsed="false">
      <c r="A14" s="6" t="n">
        <v>6</v>
      </c>
      <c r="B14" s="14"/>
      <c r="C14" s="7" t="s">
        <v>61</v>
      </c>
      <c r="D14" s="15" t="n">
        <v>1.5</v>
      </c>
      <c r="E14" s="16" t="s">
        <v>18</v>
      </c>
      <c r="F14" s="6" t="s">
        <v>13</v>
      </c>
    </row>
    <row r="15" customFormat="false" ht="15" hidden="false" customHeight="false" outlineLevel="0" collapsed="false">
      <c r="A15" s="6" t="n">
        <v>7</v>
      </c>
      <c r="B15" s="14"/>
      <c r="C15" s="7" t="s">
        <v>62</v>
      </c>
      <c r="D15" s="15" t="n">
        <v>1</v>
      </c>
      <c r="E15" s="16" t="s">
        <v>18</v>
      </c>
      <c r="F15" s="6" t="s">
        <v>13</v>
      </c>
    </row>
    <row r="16" customFormat="false" ht="15" hidden="false" customHeight="false" outlineLevel="0" collapsed="false">
      <c r="A16" s="6" t="n">
        <v>8</v>
      </c>
      <c r="B16" s="14"/>
      <c r="C16" s="7" t="s">
        <v>63</v>
      </c>
      <c r="D16" s="15" t="n">
        <v>0.5</v>
      </c>
      <c r="E16" s="16" t="s">
        <v>18</v>
      </c>
      <c r="F16" s="6" t="s">
        <v>13</v>
      </c>
    </row>
    <row r="17" customFormat="false" ht="23.85" hidden="false" customHeight="false" outlineLevel="0" collapsed="false">
      <c r="A17" s="6" t="n">
        <v>9</v>
      </c>
      <c r="B17" s="14"/>
      <c r="C17" s="7" t="s">
        <v>64</v>
      </c>
      <c r="D17" s="15" t="n">
        <v>1</v>
      </c>
      <c r="E17" s="16" t="s">
        <v>18</v>
      </c>
      <c r="F17" s="6" t="s">
        <v>13</v>
      </c>
    </row>
    <row r="18" customFormat="false" ht="23.85" hidden="false" customHeight="false" outlineLevel="0" collapsed="false">
      <c r="A18" s="6" t="n">
        <v>10</v>
      </c>
      <c r="B18" s="14"/>
      <c r="C18" s="7" t="s">
        <v>65</v>
      </c>
      <c r="D18" s="15" t="n">
        <v>1.5</v>
      </c>
      <c r="E18" s="16" t="s">
        <v>18</v>
      </c>
      <c r="F18" s="6" t="s">
        <v>13</v>
      </c>
    </row>
    <row r="19" customFormat="false" ht="23.85" hidden="false" customHeight="false" outlineLevel="0" collapsed="false">
      <c r="A19" s="20" t="n">
        <v>11</v>
      </c>
      <c r="B19" s="21"/>
      <c r="C19" s="22" t="s">
        <v>66</v>
      </c>
      <c r="D19" s="23" t="n">
        <v>0.5</v>
      </c>
      <c r="E19" s="24" t="s">
        <v>18</v>
      </c>
      <c r="F19" s="20" t="s">
        <v>13</v>
      </c>
    </row>
    <row r="20" customFormat="false" ht="23.85" hidden="false" customHeight="false" outlineLevel="0" collapsed="false">
      <c r="A20" s="20" t="n">
        <v>12</v>
      </c>
      <c r="B20" s="21"/>
      <c r="C20" s="22" t="s">
        <v>67</v>
      </c>
      <c r="D20" s="23" t="n">
        <v>0.5</v>
      </c>
      <c r="E20" s="24" t="s">
        <v>18</v>
      </c>
      <c r="F20" s="20" t="s">
        <v>13</v>
      </c>
    </row>
    <row r="21" customFormat="false" ht="15" hidden="false" customHeight="false" outlineLevel="0" collapsed="false">
      <c r="A21" s="17" t="s">
        <v>68</v>
      </c>
      <c r="B21" s="17"/>
      <c r="C21" s="17"/>
      <c r="D21" s="18" t="n">
        <f aca="false">SUM(D14:D20)</f>
        <v>6.5</v>
      </c>
      <c r="E21" s="19"/>
      <c r="F21" s="19"/>
    </row>
    <row r="23" customFormat="false" ht="15" hidden="false" customHeight="false" outlineLevel="0" collapsed="false">
      <c r="A23" s="13" t="s">
        <v>69</v>
      </c>
      <c r="B23" s="13"/>
      <c r="C23" s="13"/>
      <c r="D23" s="13"/>
      <c r="E23" s="13"/>
      <c r="F23" s="13"/>
    </row>
    <row r="24" customFormat="false" ht="15" hidden="false" customHeight="false" outlineLevel="0" collapsed="false">
      <c r="A24" s="6" t="n">
        <v>13</v>
      </c>
      <c r="B24" s="14"/>
      <c r="C24" s="7" t="s">
        <v>70</v>
      </c>
      <c r="D24" s="15" t="n">
        <v>1</v>
      </c>
      <c r="E24" s="16" t="s">
        <v>18</v>
      </c>
      <c r="F24" s="6" t="s">
        <v>13</v>
      </c>
    </row>
    <row r="25" customFormat="false" ht="15" hidden="false" customHeight="false" outlineLevel="0" collapsed="false">
      <c r="A25" s="6" t="n">
        <v>14</v>
      </c>
      <c r="B25" s="14"/>
      <c r="C25" s="7" t="s">
        <v>71</v>
      </c>
      <c r="D25" s="15" t="n">
        <v>1</v>
      </c>
      <c r="E25" s="16" t="s">
        <v>18</v>
      </c>
      <c r="F25" s="6" t="s">
        <v>13</v>
      </c>
    </row>
    <row r="26" customFormat="false" ht="23.85" hidden="false" customHeight="false" outlineLevel="0" collapsed="false">
      <c r="A26" s="20" t="n">
        <v>15</v>
      </c>
      <c r="B26" s="21"/>
      <c r="C26" s="22" t="s">
        <v>72</v>
      </c>
      <c r="D26" s="23" t="n">
        <v>1</v>
      </c>
      <c r="E26" s="24" t="s">
        <v>18</v>
      </c>
      <c r="F26" s="20" t="s">
        <v>13</v>
      </c>
    </row>
    <row r="27" customFormat="false" ht="23.85" hidden="false" customHeight="false" outlineLevel="0" collapsed="false">
      <c r="A27" s="6" t="n">
        <v>16</v>
      </c>
      <c r="B27" s="14"/>
      <c r="C27" s="7" t="s">
        <v>73</v>
      </c>
      <c r="D27" s="15" t="n">
        <v>2</v>
      </c>
      <c r="E27" s="16" t="s">
        <v>18</v>
      </c>
      <c r="F27" s="6" t="s">
        <v>13</v>
      </c>
    </row>
    <row r="28" customFormat="false" ht="23.85" hidden="false" customHeight="false" outlineLevel="0" collapsed="false">
      <c r="A28" s="6" t="n">
        <v>17</v>
      </c>
      <c r="B28" s="14"/>
      <c r="C28" s="7" t="s">
        <v>74</v>
      </c>
      <c r="D28" s="15" t="n">
        <v>1.5</v>
      </c>
      <c r="E28" s="25" t="s">
        <v>75</v>
      </c>
      <c r="F28" s="6" t="s">
        <v>13</v>
      </c>
    </row>
    <row r="29" customFormat="false" ht="23.85" hidden="false" customHeight="false" outlineLevel="0" collapsed="false">
      <c r="A29" s="20" t="n">
        <v>18</v>
      </c>
      <c r="B29" s="21"/>
      <c r="C29" s="22" t="s">
        <v>76</v>
      </c>
      <c r="D29" s="23" t="n">
        <v>1</v>
      </c>
      <c r="E29" s="24" t="s">
        <v>18</v>
      </c>
      <c r="F29" s="20" t="s">
        <v>13</v>
      </c>
    </row>
    <row r="30" customFormat="false" ht="15" hidden="false" customHeight="false" outlineLevel="0" collapsed="false">
      <c r="A30" s="17" t="s">
        <v>77</v>
      </c>
      <c r="B30" s="17"/>
      <c r="C30" s="17"/>
      <c r="D30" s="18" t="n">
        <f aca="false">SUM(D24:D29)</f>
        <v>7.5</v>
      </c>
      <c r="E30" s="19"/>
      <c r="F30" s="19"/>
    </row>
    <row r="32" customFormat="false" ht="15" hidden="false" customHeight="false" outlineLevel="0" collapsed="false">
      <c r="A32" s="13" t="s">
        <v>78</v>
      </c>
      <c r="B32" s="13"/>
      <c r="C32" s="13"/>
      <c r="D32" s="13"/>
      <c r="E32" s="13"/>
      <c r="F32" s="13"/>
    </row>
    <row r="33" customFormat="false" ht="15" hidden="false" customHeight="false" outlineLevel="0" collapsed="false">
      <c r="A33" s="6" t="n">
        <v>19</v>
      </c>
      <c r="B33" s="14"/>
      <c r="C33" s="7" t="s">
        <v>79</v>
      </c>
      <c r="D33" s="15" t="n">
        <v>1</v>
      </c>
      <c r="E33" s="16" t="s">
        <v>18</v>
      </c>
      <c r="F33" s="6" t="s">
        <v>13</v>
      </c>
    </row>
    <row r="34" customFormat="false" ht="15" hidden="false" customHeight="false" outlineLevel="0" collapsed="false">
      <c r="A34" s="6" t="n">
        <v>20</v>
      </c>
      <c r="B34" s="14"/>
      <c r="C34" s="7" t="s">
        <v>80</v>
      </c>
      <c r="D34" s="15" t="n">
        <v>1</v>
      </c>
      <c r="E34" s="16" t="s">
        <v>18</v>
      </c>
      <c r="F34" s="6" t="s">
        <v>13</v>
      </c>
    </row>
    <row r="35" customFormat="false" ht="15" hidden="false" customHeight="false" outlineLevel="0" collapsed="false">
      <c r="A35" s="6" t="n">
        <v>21</v>
      </c>
      <c r="B35" s="14"/>
      <c r="C35" s="7" t="s">
        <v>81</v>
      </c>
      <c r="D35" s="15" t="n">
        <v>1</v>
      </c>
      <c r="E35" s="16" t="s">
        <v>18</v>
      </c>
      <c r="F35" s="6" t="s">
        <v>13</v>
      </c>
    </row>
    <row r="36" customFormat="false" ht="15" hidden="false" customHeight="false" outlineLevel="0" collapsed="false">
      <c r="A36" s="6" t="n">
        <v>22</v>
      </c>
      <c r="B36" s="14"/>
      <c r="C36" s="7" t="s">
        <v>82</v>
      </c>
      <c r="D36" s="15" t="n">
        <v>0.5</v>
      </c>
      <c r="E36" s="16" t="s">
        <v>18</v>
      </c>
      <c r="F36" s="6" t="s">
        <v>13</v>
      </c>
    </row>
    <row r="37" customFormat="false" ht="23.85" hidden="false" customHeight="false" outlineLevel="0" collapsed="false">
      <c r="A37" s="20" t="n">
        <v>23</v>
      </c>
      <c r="B37" s="21"/>
      <c r="C37" s="22" t="s">
        <v>83</v>
      </c>
      <c r="D37" s="23" t="n">
        <v>1</v>
      </c>
      <c r="E37" s="24" t="s">
        <v>18</v>
      </c>
      <c r="F37" s="20" t="s">
        <v>13</v>
      </c>
    </row>
    <row r="38" customFormat="false" ht="15" hidden="false" customHeight="false" outlineLevel="0" collapsed="false">
      <c r="A38" s="6" t="n">
        <v>24</v>
      </c>
      <c r="B38" s="14"/>
      <c r="C38" s="7" t="s">
        <v>84</v>
      </c>
      <c r="D38" s="15" t="n">
        <v>0.5</v>
      </c>
      <c r="E38" s="16" t="s">
        <v>18</v>
      </c>
      <c r="F38" s="6" t="s">
        <v>13</v>
      </c>
    </row>
    <row r="39" customFormat="false" ht="15" hidden="false" customHeight="false" outlineLevel="0" collapsed="false">
      <c r="A39" s="17" t="s">
        <v>85</v>
      </c>
      <c r="B39" s="17"/>
      <c r="C39" s="17"/>
      <c r="D39" s="18" t="n">
        <f aca="false">SUM(D33:D38)</f>
        <v>5</v>
      </c>
      <c r="E39" s="19"/>
      <c r="F39" s="19"/>
    </row>
    <row r="41" customFormat="false" ht="15" hidden="false" customHeight="false" outlineLevel="0" collapsed="false">
      <c r="A41" s="13" t="s">
        <v>86</v>
      </c>
      <c r="B41" s="13"/>
      <c r="C41" s="13"/>
      <c r="D41" s="13"/>
      <c r="E41" s="13"/>
      <c r="F41" s="13"/>
    </row>
    <row r="42" customFormat="false" ht="15" hidden="false" customHeight="false" outlineLevel="0" collapsed="false">
      <c r="A42" s="6" t="n">
        <v>25</v>
      </c>
      <c r="B42" s="14"/>
      <c r="C42" s="7" t="s">
        <v>87</v>
      </c>
      <c r="D42" s="15" t="n">
        <v>1.5</v>
      </c>
      <c r="E42" s="16" t="s">
        <v>18</v>
      </c>
      <c r="F42" s="6" t="s">
        <v>13</v>
      </c>
    </row>
    <row r="43" customFormat="false" ht="15" hidden="false" customHeight="false" outlineLevel="0" collapsed="false">
      <c r="A43" s="6" t="n">
        <v>26</v>
      </c>
      <c r="B43" s="14"/>
      <c r="C43" s="7" t="s">
        <v>88</v>
      </c>
      <c r="D43" s="15" t="n">
        <v>2</v>
      </c>
      <c r="E43" s="16" t="s">
        <v>18</v>
      </c>
      <c r="F43" s="6" t="s">
        <v>13</v>
      </c>
    </row>
    <row r="44" customFormat="false" ht="23.85" hidden="false" customHeight="false" outlineLevel="0" collapsed="false">
      <c r="A44" s="6" t="n">
        <v>27</v>
      </c>
      <c r="B44" s="14"/>
      <c r="C44" s="7" t="s">
        <v>89</v>
      </c>
      <c r="D44" s="15" t="n">
        <v>1</v>
      </c>
      <c r="E44" s="16" t="s">
        <v>18</v>
      </c>
      <c r="F44" s="6" t="s">
        <v>13</v>
      </c>
    </row>
    <row r="45" customFormat="false" ht="15" hidden="false" customHeight="false" outlineLevel="0" collapsed="false">
      <c r="A45" s="17" t="s">
        <v>90</v>
      </c>
      <c r="B45" s="17"/>
      <c r="C45" s="17"/>
      <c r="D45" s="18" t="n">
        <f aca="false">SUM(D42:D44)</f>
        <v>4.5</v>
      </c>
      <c r="E45" s="19"/>
      <c r="F45" s="19"/>
    </row>
    <row r="47" customFormat="false" ht="15" hidden="false" customHeight="false" outlineLevel="0" collapsed="false">
      <c r="A47" s="26" t="s">
        <v>91</v>
      </c>
      <c r="B47" s="26"/>
      <c r="C47" s="26"/>
      <c r="D47" s="27" t="n">
        <f aca="false">D11+D21+D30+D39+D45</f>
        <v>28.5</v>
      </c>
      <c r="E47" s="28"/>
      <c r="F47" s="28"/>
    </row>
    <row r="48" customFormat="false" ht="15" hidden="false" customHeight="false" outlineLevel="0" collapsed="false">
      <c r="A48" s="29" t="s">
        <v>92</v>
      </c>
      <c r="B48" s="29"/>
      <c r="C48" s="29"/>
      <c r="D48" s="30" t="n">
        <f aca="false">D47/5</f>
        <v>5.7</v>
      </c>
    </row>
    <row r="50" customFormat="false" ht="15" hidden="false" customHeight="false" outlineLevel="0" collapsed="false">
      <c r="A50" s="12" t="s">
        <v>93</v>
      </c>
      <c r="B50" s="12"/>
      <c r="C50" s="12"/>
      <c r="D50" s="12"/>
      <c r="E50" s="12"/>
      <c r="F50" s="12"/>
    </row>
  </sheetData>
  <mergeCells count="15">
    <mergeCell ref="A1:F1"/>
    <mergeCell ref="A2:F2"/>
    <mergeCell ref="A5:F5"/>
    <mergeCell ref="A11:C11"/>
    <mergeCell ref="A13:F13"/>
    <mergeCell ref="A21:C21"/>
    <mergeCell ref="A23:F23"/>
    <mergeCell ref="A30:C30"/>
    <mergeCell ref="A32:F32"/>
    <mergeCell ref="A39:C39"/>
    <mergeCell ref="A41:F41"/>
    <mergeCell ref="A45:C45"/>
    <mergeCell ref="A47:C47"/>
    <mergeCell ref="A48:C48"/>
    <mergeCell ref="A50:F50"/>
  </mergeCells>
  <dataValidations count="1">
    <dataValidation allowBlank="true" errorStyle="stop" operator="between" showDropDown="false" showErrorMessage="false" showInputMessage="false" sqref="F5:F52" type="list">
      <formula1>"Belum Mulai,Sedang Berjalan,Selesai,Tertunda,Blocked"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5"/>
  </cols>
  <sheetData>
    <row r="1" customFormat="false" ht="19.7" hidden="false" customHeight="false" outlineLevel="0" collapsed="false">
      <c r="A1" s="11" t="s">
        <v>94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12" t="s">
        <v>95</v>
      </c>
      <c r="B2" s="12"/>
      <c r="C2" s="12"/>
      <c r="D2" s="12"/>
      <c r="E2" s="12"/>
      <c r="F2" s="12"/>
    </row>
    <row r="4" customFormat="false" ht="77.6" hidden="false" customHeight="false" outlineLevel="0" collapsed="false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7</v>
      </c>
    </row>
    <row r="5" customFormat="false" ht="15" hidden="false" customHeight="false" outlineLevel="0" collapsed="false">
      <c r="A5" s="13" t="s">
        <v>96</v>
      </c>
      <c r="B5" s="13"/>
      <c r="C5" s="13"/>
      <c r="D5" s="13"/>
      <c r="E5" s="13"/>
      <c r="F5" s="13"/>
    </row>
    <row r="6" customFormat="false" ht="23.85" hidden="false" customHeight="false" outlineLevel="0" collapsed="false">
      <c r="A6" s="6" t="n">
        <v>1</v>
      </c>
      <c r="B6" s="14"/>
      <c r="C6" s="7" t="s">
        <v>97</v>
      </c>
      <c r="D6" s="15" t="n">
        <v>1</v>
      </c>
      <c r="E6" s="25" t="s">
        <v>98</v>
      </c>
      <c r="F6" s="6" t="s">
        <v>13</v>
      </c>
    </row>
    <row r="7" customFormat="false" ht="23.85" hidden="false" customHeight="false" outlineLevel="0" collapsed="false">
      <c r="A7" s="6" t="n">
        <v>2</v>
      </c>
      <c r="B7" s="14"/>
      <c r="C7" s="7" t="s">
        <v>99</v>
      </c>
      <c r="D7" s="15" t="n">
        <v>1.5</v>
      </c>
      <c r="E7" s="16" t="s">
        <v>18</v>
      </c>
      <c r="F7" s="6" t="s">
        <v>13</v>
      </c>
    </row>
    <row r="8" customFormat="false" ht="23.85" hidden="false" customHeight="false" outlineLevel="0" collapsed="false">
      <c r="A8" s="6" t="n">
        <v>3</v>
      </c>
      <c r="B8" s="14"/>
      <c r="C8" s="7" t="s">
        <v>100</v>
      </c>
      <c r="D8" s="15" t="n">
        <v>1.5</v>
      </c>
      <c r="E8" s="16" t="s">
        <v>18</v>
      </c>
      <c r="F8" s="6" t="s">
        <v>13</v>
      </c>
    </row>
    <row r="9" customFormat="false" ht="15" hidden="false" customHeight="false" outlineLevel="0" collapsed="false">
      <c r="A9" s="6" t="n">
        <v>4</v>
      </c>
      <c r="B9" s="14"/>
      <c r="C9" s="7" t="s">
        <v>101</v>
      </c>
      <c r="D9" s="15" t="n">
        <v>1.5</v>
      </c>
      <c r="E9" s="16" t="s">
        <v>18</v>
      </c>
      <c r="F9" s="6" t="s">
        <v>13</v>
      </c>
    </row>
    <row r="10" customFormat="false" ht="23.85" hidden="false" customHeight="false" outlineLevel="0" collapsed="false">
      <c r="A10" s="20" t="n">
        <v>5</v>
      </c>
      <c r="B10" s="21"/>
      <c r="C10" s="22" t="s">
        <v>102</v>
      </c>
      <c r="D10" s="23" t="n">
        <v>1.5</v>
      </c>
      <c r="E10" s="24" t="s">
        <v>18</v>
      </c>
      <c r="F10" s="20" t="s">
        <v>13</v>
      </c>
    </row>
    <row r="11" customFormat="false" ht="15" hidden="false" customHeight="false" outlineLevel="0" collapsed="false">
      <c r="A11" s="6" t="n">
        <v>6</v>
      </c>
      <c r="B11" s="14"/>
      <c r="C11" s="7" t="s">
        <v>103</v>
      </c>
      <c r="D11" s="15" t="n">
        <v>2</v>
      </c>
      <c r="E11" s="16" t="s">
        <v>104</v>
      </c>
      <c r="F11" s="6" t="s">
        <v>13</v>
      </c>
    </row>
    <row r="12" customFormat="false" ht="15" hidden="false" customHeight="false" outlineLevel="0" collapsed="false">
      <c r="A12" s="6" t="n">
        <v>7</v>
      </c>
      <c r="B12" s="14"/>
      <c r="C12" s="7" t="s">
        <v>105</v>
      </c>
      <c r="D12" s="15" t="n">
        <v>1.5</v>
      </c>
      <c r="E12" s="16" t="s">
        <v>18</v>
      </c>
      <c r="F12" s="6" t="s">
        <v>13</v>
      </c>
    </row>
    <row r="13" customFormat="false" ht="23.85" hidden="false" customHeight="false" outlineLevel="0" collapsed="false">
      <c r="A13" s="6" t="n">
        <v>8</v>
      </c>
      <c r="B13" s="14"/>
      <c r="C13" s="7" t="s">
        <v>106</v>
      </c>
      <c r="D13" s="15" t="n">
        <v>1.5</v>
      </c>
      <c r="E13" s="16" t="s">
        <v>18</v>
      </c>
      <c r="F13" s="6" t="s">
        <v>13</v>
      </c>
    </row>
    <row r="14" customFormat="false" ht="23.85" hidden="false" customHeight="false" outlineLevel="0" collapsed="false">
      <c r="A14" s="20" t="n">
        <v>9</v>
      </c>
      <c r="B14" s="21"/>
      <c r="C14" s="22" t="s">
        <v>107</v>
      </c>
      <c r="D14" s="23" t="n">
        <v>1</v>
      </c>
      <c r="E14" s="24" t="s">
        <v>18</v>
      </c>
      <c r="F14" s="20" t="s">
        <v>13</v>
      </c>
    </row>
    <row r="15" customFormat="false" ht="15" hidden="false" customHeight="false" outlineLevel="0" collapsed="false">
      <c r="A15" s="6" t="n">
        <v>10</v>
      </c>
      <c r="B15" s="14"/>
      <c r="C15" s="7" t="s">
        <v>108</v>
      </c>
      <c r="D15" s="15" t="n">
        <v>1</v>
      </c>
      <c r="E15" s="16" t="s">
        <v>18</v>
      </c>
      <c r="F15" s="6" t="s">
        <v>13</v>
      </c>
    </row>
    <row r="16" customFormat="false" ht="15" hidden="false" customHeight="false" outlineLevel="0" collapsed="false">
      <c r="A16" s="6" t="n">
        <v>11</v>
      </c>
      <c r="B16" s="14"/>
      <c r="C16" s="7" t="s">
        <v>109</v>
      </c>
      <c r="D16" s="15" t="n">
        <v>1</v>
      </c>
      <c r="E16" s="16" t="s">
        <v>18</v>
      </c>
      <c r="F16" s="6" t="s">
        <v>13</v>
      </c>
    </row>
    <row r="17" customFormat="false" ht="15" hidden="false" customHeight="false" outlineLevel="0" collapsed="false">
      <c r="A17" s="17" t="s">
        <v>110</v>
      </c>
      <c r="B17" s="17"/>
      <c r="C17" s="17"/>
      <c r="D17" s="18" t="n">
        <f aca="false">SUM(D6:D16)</f>
        <v>15</v>
      </c>
      <c r="E17" s="19"/>
      <c r="F17" s="19"/>
    </row>
    <row r="19" customFormat="false" ht="15" hidden="false" customHeight="false" outlineLevel="0" collapsed="false">
      <c r="A19" s="13" t="s">
        <v>111</v>
      </c>
      <c r="B19" s="13"/>
      <c r="C19" s="13"/>
      <c r="D19" s="13"/>
      <c r="E19" s="13"/>
      <c r="F19" s="13"/>
    </row>
    <row r="20" customFormat="false" ht="15" hidden="false" customHeight="false" outlineLevel="0" collapsed="false">
      <c r="A20" s="6" t="n">
        <v>12</v>
      </c>
      <c r="B20" s="14"/>
      <c r="C20" s="7" t="s">
        <v>112</v>
      </c>
      <c r="D20" s="15" t="n">
        <v>1</v>
      </c>
      <c r="E20" s="16" t="s">
        <v>18</v>
      </c>
      <c r="F20" s="6" t="s">
        <v>13</v>
      </c>
    </row>
    <row r="21" customFormat="false" ht="15" hidden="false" customHeight="false" outlineLevel="0" collapsed="false">
      <c r="A21" s="6" t="n">
        <v>13</v>
      </c>
      <c r="B21" s="14"/>
      <c r="C21" s="7" t="s">
        <v>113</v>
      </c>
      <c r="D21" s="15" t="n">
        <v>1.5</v>
      </c>
      <c r="E21" s="16" t="s">
        <v>18</v>
      </c>
      <c r="F21" s="6" t="s">
        <v>13</v>
      </c>
    </row>
    <row r="22" customFormat="false" ht="15" hidden="false" customHeight="false" outlineLevel="0" collapsed="false">
      <c r="A22" s="6" t="n">
        <v>14</v>
      </c>
      <c r="B22" s="14"/>
      <c r="C22" s="7" t="s">
        <v>114</v>
      </c>
      <c r="D22" s="15" t="n">
        <v>1</v>
      </c>
      <c r="E22" s="16" t="s">
        <v>115</v>
      </c>
      <c r="F22" s="6" t="s">
        <v>13</v>
      </c>
    </row>
    <row r="23" customFormat="false" ht="15" hidden="false" customHeight="false" outlineLevel="0" collapsed="false">
      <c r="A23" s="17" t="s">
        <v>116</v>
      </c>
      <c r="B23" s="17"/>
      <c r="C23" s="17"/>
      <c r="D23" s="18" t="n">
        <f aca="false">SUM(D20:D22)</f>
        <v>3.5</v>
      </c>
      <c r="E23" s="19"/>
      <c r="F23" s="19"/>
    </row>
    <row r="25" customFormat="false" ht="15" hidden="false" customHeight="false" outlineLevel="0" collapsed="false">
      <c r="A25" s="13" t="s">
        <v>117</v>
      </c>
      <c r="B25" s="13"/>
      <c r="C25" s="13"/>
      <c r="D25" s="13"/>
      <c r="E25" s="13"/>
      <c r="F25" s="13"/>
    </row>
    <row r="26" customFormat="false" ht="23.85" hidden="false" customHeight="false" outlineLevel="0" collapsed="false">
      <c r="A26" s="6" t="n">
        <v>15</v>
      </c>
      <c r="B26" s="14"/>
      <c r="C26" s="7" t="s">
        <v>118</v>
      </c>
      <c r="D26" s="15" t="n">
        <v>1</v>
      </c>
      <c r="E26" s="16" t="s">
        <v>18</v>
      </c>
      <c r="F26" s="6" t="s">
        <v>13</v>
      </c>
    </row>
    <row r="27" customFormat="false" ht="23.85" hidden="false" customHeight="false" outlineLevel="0" collapsed="false">
      <c r="A27" s="6" t="n">
        <v>16</v>
      </c>
      <c r="B27" s="14"/>
      <c r="C27" s="7" t="s">
        <v>119</v>
      </c>
      <c r="D27" s="15" t="n">
        <v>1.5</v>
      </c>
      <c r="E27" s="16" t="s">
        <v>18</v>
      </c>
      <c r="F27" s="6" t="s">
        <v>13</v>
      </c>
    </row>
    <row r="28" customFormat="false" ht="15" hidden="false" customHeight="false" outlineLevel="0" collapsed="false">
      <c r="A28" s="6" t="n">
        <v>17</v>
      </c>
      <c r="B28" s="14"/>
      <c r="C28" s="7" t="s">
        <v>120</v>
      </c>
      <c r="D28" s="15" t="n">
        <v>1.5</v>
      </c>
      <c r="E28" s="16" t="s">
        <v>18</v>
      </c>
      <c r="F28" s="6" t="s">
        <v>13</v>
      </c>
    </row>
    <row r="29" customFormat="false" ht="23.85" hidden="false" customHeight="false" outlineLevel="0" collapsed="false">
      <c r="A29" s="6" t="n">
        <v>18</v>
      </c>
      <c r="B29" s="14"/>
      <c r="C29" s="7" t="s">
        <v>121</v>
      </c>
      <c r="D29" s="15" t="n">
        <v>1</v>
      </c>
      <c r="E29" s="16" t="s">
        <v>18</v>
      </c>
      <c r="F29" s="6" t="s">
        <v>13</v>
      </c>
    </row>
    <row r="30" customFormat="false" ht="15" hidden="false" customHeight="false" outlineLevel="0" collapsed="false">
      <c r="A30" s="6" t="n">
        <v>19</v>
      </c>
      <c r="B30" s="14"/>
      <c r="C30" s="7" t="s">
        <v>122</v>
      </c>
      <c r="D30" s="15" t="n">
        <v>0.5</v>
      </c>
      <c r="E30" s="16" t="s">
        <v>18</v>
      </c>
      <c r="F30" s="6" t="s">
        <v>13</v>
      </c>
    </row>
    <row r="31" customFormat="false" ht="15" hidden="false" customHeight="false" outlineLevel="0" collapsed="false">
      <c r="A31" s="6" t="n">
        <v>20</v>
      </c>
      <c r="B31" s="14"/>
      <c r="C31" s="7" t="s">
        <v>123</v>
      </c>
      <c r="D31" s="15" t="n">
        <v>1.5</v>
      </c>
      <c r="E31" s="16" t="s">
        <v>18</v>
      </c>
      <c r="F31" s="6" t="s">
        <v>13</v>
      </c>
    </row>
    <row r="32" customFormat="false" ht="15" hidden="false" customHeight="false" outlineLevel="0" collapsed="false">
      <c r="A32" s="17" t="s">
        <v>124</v>
      </c>
      <c r="B32" s="17"/>
      <c r="C32" s="17"/>
      <c r="D32" s="18" t="n">
        <f aca="false">SUM(D26:D31)</f>
        <v>7</v>
      </c>
      <c r="E32" s="19"/>
      <c r="F32" s="19"/>
    </row>
    <row r="34" customFormat="false" ht="15" hidden="false" customHeight="false" outlineLevel="0" collapsed="false">
      <c r="A34" s="13" t="s">
        <v>125</v>
      </c>
      <c r="B34" s="13"/>
      <c r="C34" s="13"/>
      <c r="D34" s="13"/>
      <c r="E34" s="13"/>
      <c r="F34" s="13"/>
    </row>
    <row r="35" customFormat="false" ht="23.85" hidden="false" customHeight="false" outlineLevel="0" collapsed="false">
      <c r="A35" s="6" t="n">
        <v>21</v>
      </c>
      <c r="B35" s="14"/>
      <c r="C35" s="7" t="s">
        <v>126</v>
      </c>
      <c r="D35" s="15" t="n">
        <v>1</v>
      </c>
      <c r="E35" s="25" t="s">
        <v>127</v>
      </c>
      <c r="F35" s="6" t="s">
        <v>13</v>
      </c>
    </row>
    <row r="36" customFormat="false" ht="23.85" hidden="false" customHeight="false" outlineLevel="0" collapsed="false">
      <c r="A36" s="6" t="n">
        <v>22</v>
      </c>
      <c r="B36" s="14"/>
      <c r="C36" s="7" t="s">
        <v>128</v>
      </c>
      <c r="D36" s="15" t="n">
        <v>1.5</v>
      </c>
      <c r="E36" s="16" t="s">
        <v>104</v>
      </c>
      <c r="F36" s="6" t="s">
        <v>13</v>
      </c>
    </row>
    <row r="37" customFormat="false" ht="23.85" hidden="false" customHeight="false" outlineLevel="0" collapsed="false">
      <c r="A37" s="6" t="n">
        <v>23</v>
      </c>
      <c r="B37" s="14"/>
      <c r="C37" s="7" t="s">
        <v>129</v>
      </c>
      <c r="D37" s="15" t="n">
        <v>1</v>
      </c>
      <c r="E37" s="16" t="s">
        <v>18</v>
      </c>
      <c r="F37" s="6" t="s">
        <v>13</v>
      </c>
    </row>
    <row r="38" customFormat="false" ht="23.85" hidden="false" customHeight="false" outlineLevel="0" collapsed="false">
      <c r="A38" s="6" t="n">
        <v>24</v>
      </c>
      <c r="B38" s="14"/>
      <c r="C38" s="7" t="s">
        <v>130</v>
      </c>
      <c r="D38" s="15" t="n">
        <v>1.5</v>
      </c>
      <c r="E38" s="16" t="s">
        <v>18</v>
      </c>
      <c r="F38" s="6" t="s">
        <v>13</v>
      </c>
    </row>
    <row r="39" customFormat="false" ht="23.85" hidden="false" customHeight="false" outlineLevel="0" collapsed="false">
      <c r="A39" s="6" t="n">
        <v>25</v>
      </c>
      <c r="B39" s="14"/>
      <c r="C39" s="7" t="s">
        <v>131</v>
      </c>
      <c r="D39" s="15" t="n">
        <v>1</v>
      </c>
      <c r="E39" s="16" t="s">
        <v>18</v>
      </c>
      <c r="F39" s="6" t="s">
        <v>13</v>
      </c>
    </row>
    <row r="40" customFormat="false" ht="23.85" hidden="false" customHeight="false" outlineLevel="0" collapsed="false">
      <c r="A40" s="20" t="n">
        <v>26</v>
      </c>
      <c r="B40" s="21"/>
      <c r="C40" s="22" t="s">
        <v>132</v>
      </c>
      <c r="D40" s="23" t="n">
        <v>1</v>
      </c>
      <c r="E40" s="24" t="s">
        <v>18</v>
      </c>
      <c r="F40" s="20" t="s">
        <v>13</v>
      </c>
    </row>
    <row r="41" customFormat="false" ht="15" hidden="false" customHeight="false" outlineLevel="0" collapsed="false">
      <c r="A41" s="6" t="n">
        <v>27</v>
      </c>
      <c r="B41" s="14"/>
      <c r="C41" s="7" t="s">
        <v>133</v>
      </c>
      <c r="D41" s="15" t="n">
        <v>1.5</v>
      </c>
      <c r="E41" s="16" t="s">
        <v>18</v>
      </c>
      <c r="F41" s="6" t="s">
        <v>13</v>
      </c>
    </row>
    <row r="42" customFormat="false" ht="15" hidden="false" customHeight="false" outlineLevel="0" collapsed="false">
      <c r="A42" s="17" t="s">
        <v>134</v>
      </c>
      <c r="B42" s="17"/>
      <c r="C42" s="17"/>
      <c r="D42" s="18" t="n">
        <f aca="false">SUM(D35:D41)</f>
        <v>8.5</v>
      </c>
      <c r="E42" s="19"/>
      <c r="F42" s="19"/>
    </row>
    <row r="44" customFormat="false" ht="15" hidden="false" customHeight="false" outlineLevel="0" collapsed="false">
      <c r="A44" s="13" t="s">
        <v>135</v>
      </c>
      <c r="B44" s="13"/>
      <c r="C44" s="13"/>
      <c r="D44" s="13"/>
      <c r="E44" s="13"/>
      <c r="F44" s="13"/>
    </row>
    <row r="45" customFormat="false" ht="23.85" hidden="false" customHeight="false" outlineLevel="0" collapsed="false">
      <c r="A45" s="6" t="n">
        <v>28</v>
      </c>
      <c r="B45" s="14"/>
      <c r="C45" s="7" t="s">
        <v>136</v>
      </c>
      <c r="D45" s="15" t="n">
        <v>1.5</v>
      </c>
      <c r="E45" s="16" t="s">
        <v>18</v>
      </c>
      <c r="F45" s="6" t="s">
        <v>13</v>
      </c>
    </row>
    <row r="46" customFormat="false" ht="15" hidden="false" customHeight="false" outlineLevel="0" collapsed="false">
      <c r="A46" s="6" t="n">
        <v>29</v>
      </c>
      <c r="B46" s="14"/>
      <c r="C46" s="7" t="s">
        <v>137</v>
      </c>
      <c r="D46" s="15" t="n">
        <v>1.5</v>
      </c>
      <c r="E46" s="16" t="s">
        <v>18</v>
      </c>
      <c r="F46" s="6" t="s">
        <v>13</v>
      </c>
    </row>
    <row r="47" customFormat="false" ht="15" hidden="false" customHeight="false" outlineLevel="0" collapsed="false">
      <c r="A47" s="6" t="n">
        <v>30</v>
      </c>
      <c r="B47" s="14"/>
      <c r="C47" s="7" t="s">
        <v>138</v>
      </c>
      <c r="D47" s="15" t="n">
        <v>1</v>
      </c>
      <c r="E47" s="16" t="s">
        <v>18</v>
      </c>
      <c r="F47" s="6" t="s">
        <v>13</v>
      </c>
    </row>
    <row r="48" customFormat="false" ht="15" hidden="false" customHeight="false" outlineLevel="0" collapsed="false">
      <c r="A48" s="17" t="s">
        <v>139</v>
      </c>
      <c r="B48" s="17"/>
      <c r="C48" s="17"/>
      <c r="D48" s="18" t="n">
        <f aca="false">SUM(D45:D47)</f>
        <v>4</v>
      </c>
      <c r="E48" s="19"/>
      <c r="F48" s="19"/>
    </row>
    <row r="50" customFormat="false" ht="15" hidden="false" customHeight="false" outlineLevel="0" collapsed="false">
      <c r="A50" s="13" t="s">
        <v>140</v>
      </c>
      <c r="B50" s="13"/>
      <c r="C50" s="13"/>
      <c r="D50" s="13"/>
      <c r="E50" s="13"/>
      <c r="F50" s="13"/>
    </row>
    <row r="51" customFormat="false" ht="23.85" hidden="false" customHeight="false" outlineLevel="0" collapsed="false">
      <c r="A51" s="6" t="n">
        <v>31</v>
      </c>
      <c r="B51" s="14"/>
      <c r="C51" s="7" t="s">
        <v>141</v>
      </c>
      <c r="D51" s="15" t="n">
        <v>1.5</v>
      </c>
      <c r="E51" s="16" t="s">
        <v>18</v>
      </c>
      <c r="F51" s="6" t="s">
        <v>13</v>
      </c>
    </row>
    <row r="52" customFormat="false" ht="15" hidden="false" customHeight="false" outlineLevel="0" collapsed="false">
      <c r="A52" s="6" t="n">
        <v>32</v>
      </c>
      <c r="B52" s="14"/>
      <c r="C52" s="7" t="s">
        <v>142</v>
      </c>
      <c r="D52" s="15" t="n">
        <v>1.5</v>
      </c>
      <c r="E52" s="16" t="s">
        <v>18</v>
      </c>
      <c r="F52" s="6" t="s">
        <v>13</v>
      </c>
    </row>
    <row r="53" customFormat="false" ht="15" hidden="false" customHeight="false" outlineLevel="0" collapsed="false">
      <c r="A53" s="6" t="n">
        <v>33</v>
      </c>
      <c r="B53" s="14"/>
      <c r="C53" s="7" t="s">
        <v>143</v>
      </c>
      <c r="D53" s="15" t="n">
        <v>1.5</v>
      </c>
      <c r="E53" s="16" t="s">
        <v>18</v>
      </c>
      <c r="F53" s="6" t="s">
        <v>13</v>
      </c>
    </row>
    <row r="54" customFormat="false" ht="15" hidden="false" customHeight="false" outlineLevel="0" collapsed="false">
      <c r="A54" s="6" t="n">
        <v>34</v>
      </c>
      <c r="B54" s="14"/>
      <c r="C54" s="7" t="s">
        <v>144</v>
      </c>
      <c r="D54" s="15" t="n">
        <v>0.5</v>
      </c>
      <c r="E54" s="16" t="s">
        <v>18</v>
      </c>
      <c r="F54" s="6" t="s">
        <v>13</v>
      </c>
    </row>
    <row r="55" customFormat="false" ht="15" hidden="false" customHeight="false" outlineLevel="0" collapsed="false">
      <c r="A55" s="17" t="s">
        <v>145</v>
      </c>
      <c r="B55" s="17"/>
      <c r="C55" s="17"/>
      <c r="D55" s="18" t="n">
        <f aca="false">SUM(D51:D54)</f>
        <v>5</v>
      </c>
      <c r="E55" s="19"/>
      <c r="F55" s="19"/>
    </row>
    <row r="57" customFormat="false" ht="15" hidden="false" customHeight="false" outlineLevel="0" collapsed="false">
      <c r="A57" s="26" t="s">
        <v>91</v>
      </c>
      <c r="B57" s="26"/>
      <c r="C57" s="26"/>
      <c r="D57" s="27" t="n">
        <f aca="false">D17+D23+D32+D42+D48+D55</f>
        <v>43</v>
      </c>
      <c r="E57" s="28"/>
      <c r="F57" s="28"/>
    </row>
    <row r="58" customFormat="false" ht="15" hidden="false" customHeight="false" outlineLevel="0" collapsed="false">
      <c r="A58" s="29" t="s">
        <v>92</v>
      </c>
      <c r="B58" s="29"/>
      <c r="C58" s="29"/>
      <c r="D58" s="30" t="n">
        <f aca="false">D57/5</f>
        <v>8.6</v>
      </c>
    </row>
    <row r="60" customFormat="false" ht="15" hidden="false" customHeight="false" outlineLevel="0" collapsed="false">
      <c r="A60" s="12" t="s">
        <v>93</v>
      </c>
      <c r="B60" s="12"/>
      <c r="C60" s="12"/>
      <c r="D60" s="12"/>
      <c r="E60" s="12"/>
      <c r="F60" s="12"/>
    </row>
  </sheetData>
  <mergeCells count="17">
    <mergeCell ref="A1:F1"/>
    <mergeCell ref="A2:F2"/>
    <mergeCell ref="A5:F5"/>
    <mergeCell ref="A17:C17"/>
    <mergeCell ref="A19:F19"/>
    <mergeCell ref="A23:C23"/>
    <mergeCell ref="A25:F25"/>
    <mergeCell ref="A32:C32"/>
    <mergeCell ref="A34:F34"/>
    <mergeCell ref="A42:C42"/>
    <mergeCell ref="A44:F44"/>
    <mergeCell ref="A48:C48"/>
    <mergeCell ref="A50:F50"/>
    <mergeCell ref="A55:C55"/>
    <mergeCell ref="A57:C57"/>
    <mergeCell ref="A58:C58"/>
    <mergeCell ref="A60:F60"/>
  </mergeCells>
  <dataValidations count="1">
    <dataValidation allowBlank="true" errorStyle="stop" operator="between" showDropDown="false" showErrorMessage="false" showInputMessage="false" sqref="F5:F62" type="list">
      <formula1>"Belum Mulai,Sedang Berjalan,Selesai,Tertunda,Blocked"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2026-09-03T02:34:30Z</dcterms:created>
  <dc:creator>openpyxl</dc:creator>
  <dc:description/>
  <dc:language>en-US</dc:language>
  <cp:lastModifiedBy/>
  <dcterms:modified xsi:type="dcterms:W3CDTF">2026-09-03T02:45:26Z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