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<sst xmlns="http://schemas.openxmlformats.org/spreadsheetml/2006/main" count="74" uniqueCount="67">
  <si>
    <t>Daftar Pengerjaan Detail</t>
  </si>
  <si>
    <t>No</t>
  </si>
  <si>
    <t>Task</t>
  </si>
  <si>
    <t>Estimasi (hari kerja)</t>
  </si>
  <si>
    <t>Dependency / Catatan</t>
  </si>
  <si>
    <t>Status</t>
  </si>
  <si>
    <t>Minggu 1 - Fondasi, Data Kandidat &amp; Pipeline</t>
  </si>
  <si>
    <t>Setup repo git &amp; struktur project (monorepo backend/frontend)</t>
  </si>
  <si>
    <t>Setup docker-compose lokal: Next.js, FastAPI, PostgreSQL, n8n</t>
  </si>
  <si>
    <t>Bangun skema database</t>
  </si>
  <si>
    <t>Auth &amp; role-based access (Admin/HR/Manager)</t>
  </si>
  <si>
    <t>Registrasi Entra ID ke Altek (OneDrive)</t>
  </si>
  <si>
    <t>Administratif</t>
  </si>
  <si>
    <t>CRUD Candidate + sub-form pendidikan &amp; pengalaman kerja</t>
  </si>
  <si>
    <t>Upload dokumen kandidat (storage adapter, lokal)</t>
  </si>
  <si>
    <t>CRUD Client &amp; Position</t>
  </si>
  <si>
    <t xml:space="preserve">Subtotal </t>
  </si>
  <si>
    <t>Minggu 2 - Data Kandidat &amp; Pipeline, Blacklist</t>
  </si>
  <si>
    <t>CRUD Application (lamaran) + linking Candidate/Position/Recruiter</t>
  </si>
  <si>
    <t xml:space="preserve">UI tracking tahapan rekrutmen (Stage_History) </t>
  </si>
  <si>
    <t>CRUD Blacklist + master data Blacklist_Status_Type</t>
  </si>
  <si>
    <t>Logic cek duplikat kandidat (email/HP/KTP) saat input baru</t>
  </si>
  <si>
    <t>CRUD modul Employee (identitas, status, kontrak) + master Agreement_Type</t>
  </si>
  <si>
    <t>Integrasi OneDrive Graph API (swap storage adapter dari lokal)</t>
  </si>
  <si>
    <t>Setting hostinger</t>
  </si>
  <si>
    <t>Minggu 3 - Export, Dashboard, Deploy</t>
  </si>
  <si>
    <t>Export data kandidat ke Excel</t>
  </si>
  <si>
    <t>Dashboard ringkas (jumlah kandidat per tahap/posisi)</t>
  </si>
  <si>
    <t>Deploy docker-compose ke server Hostinger</t>
  </si>
  <si>
    <t>Setup nginx reverse proxy + SSL (Let's Encrypt)</t>
  </si>
  <si>
    <t xml:space="preserve">Demo </t>
  </si>
  <si>
    <t>Perbaikan bug dari hasil UAT</t>
  </si>
  <si>
    <t>Minggu 4 - AI Ekstraksi CV &amp; Matching/Scoring Kandidat</t>
  </si>
  <si>
    <t>Desain skema ekstraksi &amp; prompt AI (field sesuai kolom database)</t>
  </si>
  <si>
    <t>Build pipeline ekstraksi teks (PyMuPDF/pdfplumber + OCR fallback utk CV scan)</t>
  </si>
  <si>
    <t>Integrasi API LLM utk ekstraksi terstruktur (output JSON)</t>
  </si>
  <si>
    <t>[n8n] Workflow trigger: CV baru diupload -&gt; panggil pipeline ekstraksi AI -&gt; simpan hasil ke DB</t>
  </si>
  <si>
    <t>Uji akurasi ke sample CV &amp; iterasi prompt</t>
  </si>
  <si>
    <t>Build UI review/edit hasil ekstraksi AI (human-in-the-loop)</t>
  </si>
  <si>
    <t>Desain &amp; implement matching/scoring kandidat ke requirement posisi</t>
  </si>
  <si>
    <t>Minggu 5 - AI Ekstraksi CV &amp; Matching/Scoring Kandidat, draft project pada cv</t>
  </si>
  <si>
    <t>[n8n] Workflow trigger: matching/scoring otomatis saat kandidat baru masuk ke posisi</t>
  </si>
  <si>
    <t>Build UI ranking/scoring kandidat per posisi</t>
  </si>
  <si>
    <t>Testing end-to-end + setup monitoring biaya token AI</t>
  </si>
  <si>
    <t>Desain prompt draft project dari pengalaman kerja kandidat</t>
  </si>
  <si>
    <t>Build UI draft + edit + approve oleh recruiter</t>
  </si>
  <si>
    <t>Integrasi ke alur generate CV (field Project)</t>
  </si>
  <si>
    <t xml:space="preserve">Minggu 6 - Natural Language search (role Manager) </t>
  </si>
  <si>
    <t>Desain skema field &amp; operator yang diizinkan (aman dari SQL injection)</t>
  </si>
  <si>
    <t>Implement endpoint AI: terjemahkan query natural -&gt; filter JSON</t>
  </si>
  <si>
    <t>Implement query builder backend dari filter JSON</t>
  </si>
  <si>
    <t>Build UI search + tampilkan filter yang dipakai (transparansi ke user)</t>
  </si>
  <si>
    <t>Batasi akses API khusus role Manager (middleware)</t>
  </si>
  <si>
    <t>Testing berbagai variasi query bahasa natural</t>
  </si>
  <si>
    <t>Minggu 7 - Auto-generate CV Standar (Template Altek)</t>
  </si>
  <si>
    <t>Desain sistem template/layout engine (python-docx / HTML-to-PDF)</t>
  </si>
  <si>
    <t>Implement penghapusan PII otomatis sebelum masuk template</t>
  </si>
  <si>
    <t>Implement ringkasan opsional (manual HR / AI, pilihan bahasa ID-EN)</t>
  </si>
  <si>
    <t>Implement penyesuaian layout otomatis (dengan/tanpa foto)</t>
  </si>
  <si>
    <t>Desain query analitik pola lolos/gagal per posisi/sumber/kompetensi</t>
  </si>
  <si>
    <t>Build chart/visualisasi dashboard</t>
  </si>
  <si>
    <t>Testing dengan data histori rekrutmen riil</t>
  </si>
  <si>
    <t>Minggu 8 - Testing, UAT &amp; Stabilisasi Fase 2</t>
  </si>
  <si>
    <t>UAT bareng HR/Manager pakai data &amp; CV asli</t>
  </si>
  <si>
    <t>Perbaikan bug / iterasi hasil AI dari feedback UAT</t>
  </si>
  <si>
    <t>Dokumentasi</t>
  </si>
  <si>
    <t>Total Estimasi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</si>
</sst>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sz val="12.0"/>
      <color theme="1"/>
      <name val="Arial"/>
      <scheme val="minor"/>
    </font>
    <font>
      <b/>
      <sz val="11.0"/>
      <color rgb="FFF3F3F3"/>
      <name val="Arial"/>
      <scheme val="minor"/>
    </font>
    <font>
      <color theme="1"/>
      <name val="Arial"/>
      <scheme val="minor"/>
    </font>
    <font>
      <color rgb="FF000000"/>
      <name val="Arial"/>
    </font>
    <font/>
  </fonts>
  <fills count="6">
    <fill>
      <patternFill patternType="none"/>
    </fill>
    <fill>
      <patternFill patternType="lightGray"/>
    </fill>
    <fill>
      <patternFill patternType="solid">
        <fgColor rgb="FF0B5394"/>
        <bgColor rgb="FF0B5394"/>
      </patternFill>
    </fill>
    <fill>
      <patternFill patternType="solid">
        <fgColor rgb="FFCFE2F3"/>
        <bgColor rgb="FFCFE2F3"/>
      </patternFill>
    </fill>
    <fill>
      <patternFill patternType="solid">
        <fgColor rgb="FFFFFFFF"/>
        <bgColor rgb="FFFFFFFF"/>
      </patternFill>
    </fill>
    <fill>
      <patternFill patternType="solid">
        <fgColor rgb="FFFCE5CD"/>
        <bgColor rgb="FFFCE5CD"/>
      </patternFill>
    </fill>
  </fills>
  <borders count="6">
    <border/>
    <border>
      <left style="thin">
        <color rgb="FFF3F3F3"/>
      </left>
      <right style="thin">
        <color rgb="FFF3F3F3"/>
      </right>
      <top style="thin">
        <color rgb="FFF3F3F3"/>
      </top>
      <bottom style="thin">
        <color rgb="FFF3F3F3"/>
      </bottom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</border>
    <border>
      <left style="thin">
        <color rgb="FFF3F3F3"/>
      </left>
      <top style="thin">
        <color rgb="FFF3F3F3"/>
      </top>
      <bottom style="thin">
        <color rgb="FFF3F3F3"/>
      </bottom>
    </border>
    <border>
      <top style="thin">
        <color rgb="FFF3F3F3"/>
      </top>
      <bottom style="thin">
        <color rgb="FFF3F3F3"/>
      </bottom>
    </border>
    <border>
      <right style="thin">
        <color rgb="FFF3F3F3"/>
      </right>
      <top style="thin">
        <color rgb="FFF3F3F3"/>
      </top>
      <bottom style="thin">
        <color rgb="FFF3F3F3"/>
      </bottom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1" fillId="2" fontId="2" numFmtId="0" xfId="0" applyAlignment="1" applyBorder="1" applyFill="1" applyFont="1">
      <alignment horizontal="center" readingOrder="0"/>
    </xf>
    <xf borderId="0" fillId="3" fontId="3" numFmtId="0" xfId="0" applyAlignment="1" applyFill="1" applyFont="1">
      <alignment readingOrder="0"/>
    </xf>
    <xf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  <xf borderId="2" fillId="4" fontId="4" numFmtId="0" xfId="0" applyAlignment="1" applyBorder="1" applyFill="1" applyFont="1">
      <alignment readingOrder="0" vertical="top"/>
    </xf>
    <xf borderId="0" fillId="5" fontId="3" numFmtId="0" xfId="0" applyAlignment="1" applyFill="1" applyFont="1">
      <alignment readingOrder="0"/>
    </xf>
    <xf borderId="0" fillId="5" fontId="3" numFmtId="0" xfId="0" applyFill="1" applyFont="1"/>
    <xf borderId="2" fillId="4" fontId="4" numFmtId="0" xfId="0" applyAlignment="1" applyBorder="1" applyFill="1" applyFont="1">
      <alignment horizontal="right" readingOrder="0"/>
    </xf>
    <xf borderId="2" fillId="0" fontId="4" numFmtId="0" xfId="0" applyAlignment="1" applyBorder="1" applyFont="1">
      <alignment horizontal="right" readingOrder="0"/>
    </xf>
    <xf borderId="2" fillId="0" fontId="4" numFmtId="0" xfId="0" applyAlignment="1" applyBorder="1" applyFont="1">
      <alignment readingOrder="0" vertical="top"/>
    </xf>
    <xf borderId="3" fillId="2" fontId="2" numFmtId="0" xfId="0" applyAlignment="1" applyBorder="1" applyFill="1" applyFont="1">
      <alignment horizontal="left" readingOrder="0"/>
    </xf>
    <xf borderId="4" fillId="0" fontId="5" numFmtId="0" xfId="0" applyBorder="1" applyFont="1"/>
    <xf borderId="4" fillId="2" fontId="2" numFmtId="0" xfId="0" applyAlignment="1" applyBorder="1" applyFill="1" applyFont="1">
      <alignment horizontal="center" readingOrder="0"/>
    </xf>
    <xf borderId="4" fillId="2" fontId="2" numFmtId="0" xfId="0" applyAlignment="1" applyBorder="1" applyFill="1" applyFont="1">
      <alignment horizontal="left" readingOrder="0"/>
    </xf>
    <xf borderId="5" fillId="2" fontId="2" numFmtId="0" xfId="0" applyAlignment="1" applyBorder="1" applyFill="1" applyFon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4.0"/>
    <col customWidth="1" min="2" max="2" width="72.5"/>
    <col customWidth="1" min="3" max="3" width="19.13"/>
    <col customWidth="1" min="4" max="4" width="28.75"/>
    <col customWidth="1" min="5" max="5" width="18.63"/>
  </cols>
  <sheetData>
    <row r="1">
      <c r="A1" s="1" t="s">
        <v>0</v>
      </c>
    </row>
    <row r="3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</row>
    <row r="4">
      <c r="A4" s="3" t="s">
        <v>6</v>
      </c>
    </row>
    <row r="5">
      <c r="A5" s="4">
        <v>1.0</v>
      </c>
      <c r="B5" s="5" t="s">
        <v>7</v>
      </c>
      <c r="C5" s="4">
        <v>0.5</v>
      </c>
    </row>
    <row r="6">
      <c r="A6" s="4">
        <v>2.0</v>
      </c>
      <c r="B6" s="5" t="s">
        <v>8</v>
      </c>
      <c r="C6" s="4">
        <v>1.0</v>
      </c>
    </row>
    <row r="7">
      <c r="A7" s="4">
        <v>3.0</v>
      </c>
      <c r="B7" s="5" t="s">
        <v>9</v>
      </c>
      <c r="C7" s="4">
        <v>1.0</v>
      </c>
    </row>
    <row r="8">
      <c r="A8" s="4">
        <v>4.0</v>
      </c>
      <c r="B8" s="5" t="s">
        <v>10</v>
      </c>
      <c r="C8" s="4">
        <v>1.5</v>
      </c>
    </row>
    <row r="9">
      <c r="A9" s="4">
        <v>5.0</v>
      </c>
      <c r="B9" s="4" t="s">
        <v>11</v>
      </c>
      <c r="C9" s="4">
        <v>0.5</v>
      </c>
      <c r="D9" s="4" t="s">
        <v>12</v>
      </c>
    </row>
    <row r="10">
      <c r="A10" s="4">
        <v>6.0</v>
      </c>
      <c r="B10" s="6" t="s">
        <v>13</v>
      </c>
      <c r="C10" s="4">
        <v>1.5</v>
      </c>
    </row>
    <row r="11">
      <c r="A11" s="4">
        <v>7.0</v>
      </c>
      <c r="B11" s="6" t="s">
        <v>14</v>
      </c>
      <c r="C11" s="4">
        <v>1.0</v>
      </c>
    </row>
    <row r="12">
      <c r="A12" s="4">
        <v>8.0</v>
      </c>
      <c r="B12" s="6" t="s">
        <v>15</v>
      </c>
      <c r="C12" s="4">
        <v>0.5</v>
      </c>
    </row>
    <row r="13">
      <c r="A13" s="7" t="s">
        <v>16</v>
      </c>
      <c r="C13" s="7">
        <f>SUM(C5:C12)</f>
        <v>7.5</v>
      </c>
      <c r="D13" s="7"/>
    </row>
    <row r="15">
      <c r="A15" s="3" t="s">
        <v>17</v>
      </c>
    </row>
    <row r="16">
      <c r="A16" s="4">
        <v>9.0</v>
      </c>
      <c r="B16" s="6" t="s">
        <v>18</v>
      </c>
      <c r="C16" s="4">
        <v>1.0</v>
      </c>
    </row>
    <row r="17">
      <c r="A17" s="4">
        <v>10.0</v>
      </c>
      <c r="B17" s="5" t="s">
        <v>19</v>
      </c>
      <c r="C17" s="4">
        <v>1.5</v>
      </c>
    </row>
    <row r="18">
      <c r="A18" s="4">
        <v>11.0</v>
      </c>
      <c r="B18" s="6" t="s">
        <v>20</v>
      </c>
      <c r="C18" s="4">
        <v>1.0</v>
      </c>
    </row>
    <row r="19">
      <c r="A19" s="4">
        <v>12.0</v>
      </c>
      <c r="B19" s="6" t="s">
        <v>21</v>
      </c>
      <c r="C19" s="4">
        <v>0.5</v>
      </c>
    </row>
    <row r="20">
      <c r="A20" s="4">
        <v>13.0</v>
      </c>
      <c r="B20" s="6" t="s">
        <v>22</v>
      </c>
      <c r="C20" s="4">
        <v>2.0</v>
      </c>
    </row>
    <row r="21">
      <c r="A21" s="4">
        <v>14.0</v>
      </c>
      <c r="B21" s="6" t="s">
        <v>23</v>
      </c>
      <c r="C21" s="4">
        <v>1.5</v>
      </c>
    </row>
    <row r="22">
      <c r="A22" s="4">
        <v>15.0</v>
      </c>
      <c r="B22" s="4" t="s">
        <v>24</v>
      </c>
      <c r="C22" s="4">
        <v>1.0</v>
      </c>
    </row>
    <row r="23">
      <c r="A23" s="7" t="s">
        <v>16</v>
      </c>
      <c r="C23" s="8">
        <f>SUM(C16:C22)</f>
        <v>8.5</v>
      </c>
      <c r="D23" s="7"/>
    </row>
    <row r="25">
      <c r="A25" s="3" t="s">
        <v>25</v>
      </c>
    </row>
    <row r="26">
      <c r="A26" s="4">
        <v>16.0</v>
      </c>
      <c r="B26" s="6" t="s">
        <v>26</v>
      </c>
      <c r="C26" s="9">
        <v>1.0</v>
      </c>
    </row>
    <row r="27">
      <c r="A27" s="4">
        <v>17.0</v>
      </c>
      <c r="B27" s="6" t="s">
        <v>27</v>
      </c>
      <c r="C27" s="9">
        <v>1.0</v>
      </c>
    </row>
    <row r="28">
      <c r="A28" s="4">
        <v>18.0</v>
      </c>
      <c r="B28" s="6" t="s">
        <v>28</v>
      </c>
      <c r="C28" s="9">
        <v>1.0</v>
      </c>
    </row>
    <row r="29">
      <c r="A29" s="4">
        <v>19.0</v>
      </c>
      <c r="B29" s="6" t="s">
        <v>29</v>
      </c>
      <c r="C29" s="9">
        <v>0.5</v>
      </c>
    </row>
    <row r="30">
      <c r="A30" s="4">
        <v>20.0</v>
      </c>
      <c r="B30" s="4" t="s">
        <v>30</v>
      </c>
      <c r="C30" s="4">
        <v>1.5</v>
      </c>
    </row>
    <row r="31">
      <c r="A31" s="4">
        <v>21.0</v>
      </c>
      <c r="B31" s="5" t="s">
        <v>31</v>
      </c>
      <c r="C31" s="4">
        <v>2.0</v>
      </c>
    </row>
    <row r="32">
      <c r="A32" s="7" t="s">
        <v>16</v>
      </c>
      <c r="C32" s="8">
        <f>SUM(C26:C31)</f>
        <v>7</v>
      </c>
      <c r="D32" s="7"/>
    </row>
    <row r="34">
      <c r="A34" s="3" t="s">
        <v>32</v>
      </c>
    </row>
    <row r="35">
      <c r="A35" s="4">
        <v>22.0</v>
      </c>
      <c r="B35" s="6" t="s">
        <v>33</v>
      </c>
      <c r="C35" s="9">
        <v>1.5</v>
      </c>
    </row>
    <row r="36">
      <c r="A36" s="4">
        <v>23.0</v>
      </c>
      <c r="B36" s="6" t="s">
        <v>34</v>
      </c>
      <c r="C36" s="9">
        <v>1.5</v>
      </c>
    </row>
    <row r="37">
      <c r="A37" s="4">
        <v>24.0</v>
      </c>
      <c r="B37" s="6" t="s">
        <v>35</v>
      </c>
      <c r="C37" s="9">
        <v>1.5</v>
      </c>
    </row>
    <row r="38">
      <c r="A38" s="4">
        <v>25.0</v>
      </c>
      <c r="B38" s="5" t="s">
        <v>36</v>
      </c>
      <c r="C38" s="10">
        <v>1.5</v>
      </c>
    </row>
    <row r="39">
      <c r="A39" s="4">
        <v>26.0</v>
      </c>
      <c r="B39" s="6" t="s">
        <v>37</v>
      </c>
      <c r="C39" s="9">
        <v>2.0</v>
      </c>
    </row>
    <row r="40">
      <c r="A40" s="4">
        <v>27.0</v>
      </c>
      <c r="B40" s="6" t="s">
        <v>38</v>
      </c>
      <c r="C40" s="9">
        <v>1.5</v>
      </c>
    </row>
    <row r="41">
      <c r="A41" s="4">
        <v>28.0</v>
      </c>
      <c r="B41" s="6" t="s">
        <v>39</v>
      </c>
      <c r="C41" s="9">
        <v>1.5</v>
      </c>
    </row>
    <row r="42">
      <c r="A42" s="7" t="s">
        <v>16</v>
      </c>
      <c r="C42" s="8">
        <f>SUM(C35:C41)</f>
        <v>11</v>
      </c>
      <c r="D42" s="7"/>
    </row>
    <row r="44">
      <c r="A44" s="3" t="s">
        <v>40</v>
      </c>
    </row>
    <row r="45">
      <c r="A45" s="4">
        <v>29.0</v>
      </c>
      <c r="B45" s="11" t="s">
        <v>41</v>
      </c>
      <c r="C45" s="10">
        <v>1.0</v>
      </c>
    </row>
    <row r="46">
      <c r="A46" s="4">
        <v>30.0</v>
      </c>
      <c r="B46" s="6" t="s">
        <v>42</v>
      </c>
      <c r="C46" s="10">
        <v>1.0</v>
      </c>
    </row>
    <row r="47">
      <c r="A47" s="4">
        <v>31.0</v>
      </c>
      <c r="B47" s="6" t="s">
        <v>43</v>
      </c>
      <c r="C47" s="10">
        <v>1.0</v>
      </c>
    </row>
    <row r="48">
      <c r="A48" s="4">
        <v>32.0</v>
      </c>
      <c r="B48" s="6" t="s">
        <v>44</v>
      </c>
      <c r="C48" s="10">
        <v>1.0</v>
      </c>
    </row>
    <row r="49">
      <c r="A49" s="4">
        <v>33.0</v>
      </c>
      <c r="B49" s="6" t="s">
        <v>45</v>
      </c>
      <c r="C49" s="9">
        <v>1.5</v>
      </c>
    </row>
    <row r="50">
      <c r="A50" s="4">
        <v>34.0</v>
      </c>
      <c r="B50" s="6" t="s">
        <v>46</v>
      </c>
      <c r="C50" s="10">
        <v>1.0</v>
      </c>
    </row>
    <row r="51">
      <c r="A51" s="7" t="s">
        <v>16</v>
      </c>
      <c r="C51" s="8">
        <f>SUM(C45:C50)</f>
        <v>6.5</v>
      </c>
      <c r="D51" s="7"/>
    </row>
    <row r="53">
      <c r="A53" s="3" t="s">
        <v>47</v>
      </c>
    </row>
    <row r="54">
      <c r="A54" s="4">
        <v>35.0</v>
      </c>
      <c r="B54" s="6" t="s">
        <v>48</v>
      </c>
      <c r="C54" s="10">
        <v>1.0</v>
      </c>
    </row>
    <row r="55">
      <c r="A55" s="4">
        <v>36.0</v>
      </c>
      <c r="B55" s="6" t="s">
        <v>49</v>
      </c>
      <c r="C55" s="9">
        <v>1.5</v>
      </c>
    </row>
    <row r="56">
      <c r="A56" s="4">
        <v>37.0</v>
      </c>
      <c r="B56" s="6" t="s">
        <v>50</v>
      </c>
      <c r="C56" s="9">
        <v>1.5</v>
      </c>
    </row>
    <row r="57">
      <c r="A57" s="4">
        <v>38.0</v>
      </c>
      <c r="B57" s="6" t="s">
        <v>51</v>
      </c>
      <c r="C57" s="10">
        <v>1.0</v>
      </c>
    </row>
    <row r="58">
      <c r="A58" s="4">
        <v>39.0</v>
      </c>
      <c r="B58" s="6" t="s">
        <v>52</v>
      </c>
      <c r="C58" s="9">
        <v>0.5</v>
      </c>
    </row>
    <row r="59">
      <c r="A59" s="4">
        <v>40.0</v>
      </c>
      <c r="B59" s="6" t="s">
        <v>53</v>
      </c>
      <c r="C59" s="9">
        <v>1.5</v>
      </c>
    </row>
    <row r="60">
      <c r="A60" s="7" t="s">
        <v>16</v>
      </c>
      <c r="C60" s="8">
        <f>SUM(C54:C59)</f>
        <v>7</v>
      </c>
      <c r="D60" s="7"/>
    </row>
    <row r="62">
      <c r="A62" s="3" t="s">
        <v>54</v>
      </c>
    </row>
    <row r="63">
      <c r="A63" s="4">
        <v>41.0</v>
      </c>
      <c r="B63" s="6" t="s">
        <v>55</v>
      </c>
      <c r="C63" s="9">
        <v>1.5</v>
      </c>
    </row>
    <row r="64">
      <c r="A64" s="4">
        <v>42.0</v>
      </c>
      <c r="B64" s="6" t="s">
        <v>56</v>
      </c>
      <c r="C64" s="10">
        <v>1.0</v>
      </c>
    </row>
    <row r="65">
      <c r="A65" s="4">
        <v>43.0</v>
      </c>
      <c r="B65" s="6" t="s">
        <v>57</v>
      </c>
      <c r="C65" s="9">
        <v>1.5</v>
      </c>
    </row>
    <row r="66">
      <c r="A66" s="4">
        <v>44.0</v>
      </c>
      <c r="B66" s="6" t="s">
        <v>58</v>
      </c>
      <c r="C66" s="10">
        <v>1.0</v>
      </c>
    </row>
    <row r="67">
      <c r="A67" s="4">
        <v>45.0</v>
      </c>
      <c r="B67" s="6" t="s">
        <v>59</v>
      </c>
      <c r="C67" s="9">
        <v>1.5</v>
      </c>
    </row>
    <row r="68">
      <c r="A68" s="4">
        <v>46.0</v>
      </c>
      <c r="B68" s="6" t="s">
        <v>60</v>
      </c>
      <c r="C68" s="9">
        <v>1.5</v>
      </c>
    </row>
    <row r="69">
      <c r="A69" s="4">
        <v>47.0</v>
      </c>
      <c r="B69" s="6" t="s">
        <v>61</v>
      </c>
      <c r="C69" s="10">
        <v>1.0</v>
      </c>
    </row>
    <row r="70">
      <c r="A70" s="7" t="s">
        <v>16</v>
      </c>
      <c r="C70" s="8">
        <f>SUM(C63:C69)</f>
        <v>9</v>
      </c>
      <c r="D70" s="7"/>
    </row>
    <row r="72">
      <c r="A72" s="3" t="s">
        <v>62</v>
      </c>
    </row>
    <row r="73">
      <c r="A73" s="4">
        <v>48.0</v>
      </c>
      <c r="B73" s="6" t="s">
        <v>63</v>
      </c>
      <c r="C73" s="4">
        <v>1.5</v>
      </c>
    </row>
    <row r="74">
      <c r="A74" s="4">
        <v>49.0</v>
      </c>
      <c r="B74" s="6" t="s">
        <v>64</v>
      </c>
      <c r="C74" s="4">
        <v>2.0</v>
      </c>
    </row>
    <row r="75">
      <c r="A75" s="4">
        <v>50.0</v>
      </c>
      <c r="B75" s="5" t="s">
        <v>65</v>
      </c>
      <c r="C75" s="4">
        <v>2.0</v>
      </c>
    </row>
    <row r="76">
      <c r="A76" s="7" t="s">
        <v>16</v>
      </c>
      <c r="C76" s="8">
        <f>SUM(C69:C75)</f>
        <v>15.5</v>
      </c>
      <c r="D76" s="7"/>
    </row>
    <row r="78">
      <c r="A78" s="12" t="s">
        <v>66</v>
      </c>
      <c r="B78" s="13"/>
      <c r="C78" s="14">
        <f>C13+C23+C32+C42+C51</f>
        <v>40.5</v>
      </c>
      <c r="D78" s="15"/>
      <c r="E78" s="16"/>
    </row>
  </sheetData>
  <mergeCells count="26">
    <mergeCell ref="A1:B1"/>
    <mergeCell ref="A4:E4"/>
    <mergeCell ref="A13:B13"/>
    <mergeCell ref="D13:E13"/>
    <mergeCell ref="A15:E15"/>
    <mergeCell ref="A25:E25"/>
    <mergeCell ref="D23:E23"/>
    <mergeCell ref="A23:B23"/>
    <mergeCell ref="A32:B32"/>
    <mergeCell ref="D32:E32"/>
    <mergeCell ref="A34:E34"/>
    <mergeCell ref="A42:B42"/>
    <mergeCell ref="D42:E42"/>
    <mergeCell ref="A44:E44"/>
    <mergeCell ref="D70:E70"/>
    <mergeCell ref="A72:E72"/>
    <mergeCell ref="D76:E76"/>
    <mergeCell ref="A76:B76"/>
    <mergeCell ref="A78:B78"/>
    <mergeCell ref="A51:B51"/>
    <mergeCell ref="D51:E51"/>
    <mergeCell ref="A53:E53"/>
    <mergeCell ref="A60:B60"/>
    <mergeCell ref="D60:E60"/>
    <mergeCell ref="A62:E62"/>
    <mergeCell ref="A70:B70"/>
  </mergeCells>
  <drawing r:id="rId1"/>
</worksheet>
</file>